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01A5E29E-6A8C-493F-9EF2-C39FA7E5F037}" xr6:coauthVersionLast="46" xr6:coauthVersionMax="46" xr10:uidLastSave="{00000000-0000-0000-0000-000000000000}"/>
  <bookViews>
    <workbookView xWindow="-120" yWindow="-120" windowWidth="29040" windowHeight="15840" activeTab="2" xr2:uid="{50590384-6740-4D5F-8DF8-06362AA5255E}"/>
  </bookViews>
  <sheets>
    <sheet name="Epics" sheetId="2" r:id="rId1"/>
    <sheet name="Hoja1" sheetId="1" state="hidden" r:id="rId2"/>
    <sheet name="Hoja2" sheetId="3" r:id="rId3"/>
  </sheets>
  <definedNames>
    <definedName name="_xlnm._FilterDatabase" localSheetId="1" hidden="1">Hoja1!$A$1:$O$104</definedName>
    <definedName name="_xlnm._FilterDatabase" localSheetId="2" hidden="1">Hoja2!$A$1:$R$158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61" i="3" l="1"/>
  <c r="S198" i="3"/>
  <c r="S199" i="3"/>
  <c r="S200" i="3"/>
  <c r="S196" i="3"/>
  <c r="S197" i="3"/>
  <c r="S195" i="3"/>
  <c r="S190" i="3"/>
  <c r="S191" i="3"/>
  <c r="S192" i="3"/>
  <c r="S193" i="3"/>
  <c r="S194" i="3"/>
  <c r="S182" i="3"/>
  <c r="S183" i="3"/>
  <c r="S184" i="3"/>
  <c r="S185" i="3"/>
  <c r="S186" i="3"/>
  <c r="S187" i="3"/>
  <c r="S188" i="3"/>
  <c r="S189" i="3"/>
  <c r="S174" i="3"/>
  <c r="S175" i="3"/>
  <c r="S176" i="3"/>
  <c r="S177" i="3"/>
  <c r="S178" i="3"/>
  <c r="S179" i="3"/>
  <c r="S180" i="3"/>
  <c r="S181" i="3"/>
  <c r="S173" i="3"/>
  <c r="S172" i="3"/>
  <c r="S170" i="3"/>
  <c r="S171" i="3"/>
  <c r="S169" i="3"/>
  <c r="S168" i="3"/>
  <c r="S167" i="3"/>
  <c r="S166" i="3"/>
  <c r="S165" i="3"/>
  <c r="S164" i="3"/>
  <c r="S163" i="3"/>
  <c r="S162" i="3"/>
  <c r="S160" i="3"/>
  <c r="S159" i="3"/>
  <c r="S158" i="3"/>
  <c r="S157" i="3"/>
  <c r="S156" i="3"/>
  <c r="S155" i="3"/>
  <c r="S154" i="3"/>
  <c r="S153" i="3"/>
  <c r="S152" i="3"/>
  <c r="S151" i="3"/>
  <c r="S150" i="3"/>
  <c r="S149" i="3"/>
  <c r="S148" i="3"/>
  <c r="S147" i="3"/>
  <c r="S146" i="3"/>
  <c r="S145" i="3"/>
  <c r="S144" i="3"/>
  <c r="S143" i="3"/>
  <c r="S142" i="3"/>
  <c r="S141" i="3"/>
  <c r="S140" i="3"/>
  <c r="S139" i="3"/>
  <c r="S138" i="3"/>
  <c r="S137" i="3"/>
  <c r="S136" i="3"/>
  <c r="S135" i="3"/>
  <c r="S134" i="3"/>
  <c r="S133" i="3"/>
  <c r="S132" i="3"/>
  <c r="S131" i="3"/>
  <c r="S130" i="3"/>
  <c r="S129" i="3"/>
  <c r="S128" i="3"/>
  <c r="S127" i="3"/>
  <c r="S126" i="3"/>
  <c r="S125" i="3"/>
  <c r="S124" i="3"/>
  <c r="S123" i="3"/>
  <c r="S122" i="3"/>
  <c r="S121" i="3"/>
  <c r="S120" i="3"/>
  <c r="S119" i="3"/>
  <c r="S118" i="3"/>
  <c r="S117" i="3"/>
  <c r="S116" i="3"/>
  <c r="S115" i="3"/>
  <c r="S114" i="3"/>
  <c r="S113" i="3"/>
  <c r="S112" i="3"/>
  <c r="S111" i="3"/>
  <c r="S110" i="3"/>
  <c r="S109" i="3"/>
  <c r="S108" i="3"/>
  <c r="S107" i="3"/>
  <c r="S106" i="3"/>
  <c r="S105" i="3"/>
  <c r="S104" i="3"/>
  <c r="S103" i="3"/>
  <c r="S102" i="3"/>
  <c r="S101" i="3"/>
  <c r="S100" i="3"/>
  <c r="S99" i="3"/>
  <c r="S98" i="3"/>
  <c r="S97" i="3"/>
  <c r="S96" i="3"/>
  <c r="S95" i="3"/>
  <c r="S94" i="3"/>
  <c r="S93" i="3"/>
  <c r="S92" i="3"/>
  <c r="S91" i="3"/>
  <c r="S90" i="3"/>
  <c r="S89" i="3"/>
  <c r="S88" i="3"/>
  <c r="S87" i="3"/>
  <c r="S86" i="3"/>
  <c r="S85" i="3"/>
  <c r="S84" i="3"/>
  <c r="S83" i="3"/>
  <c r="S82" i="3"/>
  <c r="S81" i="3"/>
  <c r="S80" i="3"/>
  <c r="S79" i="3"/>
  <c r="S78"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S3" i="3"/>
  <c r="S2" i="3"/>
</calcChain>
</file>

<file path=xl/sharedStrings.xml><?xml version="1.0" encoding="utf-8"?>
<sst xmlns="http://schemas.openxmlformats.org/spreadsheetml/2006/main" count="3708" uniqueCount="971">
  <si>
    <t>ID</t>
  </si>
  <si>
    <t>Title</t>
  </si>
  <si>
    <t>Work Item Type</t>
  </si>
  <si>
    <t>Iteration Path</t>
  </si>
  <si>
    <t>Tipo Caso</t>
  </si>
  <si>
    <t>Estados</t>
  </si>
  <si>
    <t>Tags</t>
  </si>
  <si>
    <t>Start Date</t>
  </si>
  <si>
    <t>Finish Date</t>
  </si>
  <si>
    <t>Aplicación</t>
  </si>
  <si>
    <t>Ticket Chinalco</t>
  </si>
  <si>
    <t>Ticket SyC</t>
  </si>
  <si>
    <t>Assigned To</t>
  </si>
  <si>
    <t>Description</t>
  </si>
  <si>
    <t>Parent</t>
  </si>
  <si>
    <t>WAPSA BI</t>
  </si>
  <si>
    <t>Epic</t>
  </si>
  <si>
    <t>WAPSA\Sprint - Junio 2024</t>
  </si>
  <si>
    <t>Ticket 336 - Wapsa BI - La ejecucion a demanda del reporte de BI de Pesos y Leyes no actualiza data</t>
  </si>
  <si>
    <t>Ticket</t>
  </si>
  <si>
    <t>WAPSA\Sprint - Abril -2024</t>
  </si>
  <si>
    <t>Repetitivo-en-proceso</t>
  </si>
  <si>
    <t>Cerrado</t>
  </si>
  <si>
    <t>Cristian Pastor Artigas</t>
  </si>
  <si>
    <t xml:space="preserve">[Image] El error no se puede replicar en ningun ambiente. 10/04 @Cristian Pastor Artigas   Por ende se solicita reunion a Alexander con el DBA 19/04 @Cristian Pastor Artigas Luego de la revision con el DBA se detecta que el script de mover datos de Wapsa a BI esta correcto, se concluye que la falta de data es un problema de logica del script 19/04 @Cristian Pastor Artigas  Se soluciona error cambiando el filtro del script para utilizar a la fecha de proceso de MIna y no de Volteo 19/04 @Cristian Pastor Artigas Se preparara formato para enviar ticket 23/04 @Cristian Pastor Artigas Se envia formato para firma de Alejandro 24/04 @Cristian Pastor Artigas Se envio a TICA  01/05 @Cristian Pastor Artigas Alexander envia para formas internas 04/05 @Cristian Pastor Artigas Ticket Ejecutado </t>
  </si>
  <si>
    <t>Ticket 348 - Valores repetidos en Reporte de Pesos y Leyes del BI</t>
  </si>
  <si>
    <t>WAPSA\Sprint - Mayo -2024</t>
  </si>
  <si>
    <t>Nuevo</t>
  </si>
  <si>
    <t>Wapsa BI</t>
  </si>
  <si>
    <t xml:space="preserve">Luis Casas inidca que la data del reporte se duplica por lote 15/05 @Cristian Pastor Artigas Se corrige script en BD BI y se prerara script para ejecucion manuald e Wapsa 16/05 @Cristian Pastor Artigas  Se prepara formato de Ticket y se envia a AM 16/05 @Cristian Pastor Artigas  Enviado a TICA 29/05 @Cristian Pastor Artigas  Ejecutado y Cerrado </t>
  </si>
  <si>
    <t>Ticket 377 - Wapsa BI- Ejecución Manual - Resta copiar guias sin volteo en el reporte de datos de mina</t>
  </si>
  <si>
    <t>WAPSA\Sprint - Octubre - 2024</t>
  </si>
  <si>
    <t>Wapsa Web</t>
  </si>
  <si>
    <t xml:space="preserve">Luis casas reporta: 1. Falta informacion de Pesos de mina en Reporte de Mina   05/09 @Cristian Pastor Artigas Para firmas </t>
  </si>
  <si>
    <t>Ticket 322 - Wapsa BI - Reproceso de tabla de Humedades, pesos y leyes Correccion en Wapsa</t>
  </si>
  <si>
    <t>WAPSA\Sprint - Marzo 2024</t>
  </si>
  <si>
    <t xml:space="preserve">Ticket 322 - Wapsa BI - Reproceso de tabla de Humedades, pesos y leyes. Script de actualizacion de copia de datos para ejecucion a demanda de humedades, pesos y leyes 20/02 Este ticket depende del 298 se debe enviar el mismo script a Pord de Wapsa 27/02 Se preparan formatos para la firma y enviar ticket 29/02 Enviado a TICA @Cristian Pastor Artigas  01/03 Alexander envia Ticket a Mesa de Servicios @Cristian Pastor Artigas  04/03 Se consulta por el estado del Ticker no se obtiene respuesta @Cristian Pastor Artigas  11/03 Se consulta por el estado del Ticker no se obtiene respuesta @Cristian Pastor Artigas  </t>
  </si>
  <si>
    <t>Ticket 298 - WAPSA BI - Reproceso del dashboard del 01 al 07 enero</t>
  </si>
  <si>
    <t xml:space="preserve">Descripción: Reproceso del dashboard del 01 al 07 enero Sin permisos a la base de datos 30/01 Se tuvo problemas con el usuario 07/02 Se revisa y e total de Guias de enero coinciden con los de Wapsa Se programa reunion con Luis Casas para revisar su BI 08/02 Luego de la reunion se detecta que es un error de rango de fechas en la busqueda de datos en el Wapsa; se corrige y se deja ejecutando para el lote 2301 a la espera de la validacion de LC 16/02 Se tiene script pero el usaurio esta bloqueado para hacer las pruebas 27/02 Se envia script en base de BI y se validara en la siguiente ejecucion automatica. </t>
  </si>
  <si>
    <t>Ticket 328 - Wapsa BI - Error ejecucion a demanda Humedades, pesos y leyes</t>
  </si>
  <si>
    <t xml:space="preserve">19/03 Se envia para firma de Alejandro </t>
  </si>
  <si>
    <t>Pases a Producción</t>
  </si>
  <si>
    <t>Ticket 345: Solicitud de Pase a Producción Wapsa/WapsaUE v2.16</t>
  </si>
  <si>
    <t>[Ver. 2.16]</t>
  </si>
  <si>
    <t xml:space="preserve">Pase a producción Wapsa V 2.16 Ticket 330 https://dev.azure.com/SycSistemas/WAPSA/_boards/board/t/WAPSA%20Team/Stories/?workitem=218 Ticket 340 https://dev.azure.com/SycSistemas/WAPSA/_workitems/edit/230 Ticket 339 https://dev.azure.com/SycSistemas/WAPSA/_workitems/edit/229 Ticket 331 https://dev.azure.com/SycSistemas/WAPSA/_workitems/edit/219 Ticket 338 https://dev.azure.com/SycSistemas/WAPSA/_workitems/edit/228 03/05 @Cristian Pastor Artigas se crea y se envía documentación para firmas de AM 03/05 @Cristian Pastor Artigas se envia pase a producción 10/05 @Cristian Pastor Artigas  Se sube archivo de Manual de Usuario Actualizado 15/06 @Cristian Pastor Artigas Se suben sustentos Casos de prueba, y Alexander envia scripts a DBA para su ejecucion del pase final, a la espera de definir dia </t>
  </si>
  <si>
    <t>Ticket 351: Solicitud de Pase a Producción Wapsa/WapsaUE v2.16.1</t>
  </si>
  <si>
    <t>[2.16.1]</t>
  </si>
  <si>
    <t xml:space="preserve">Pase a producción Wapsa V 2.16.1 Ticket 350 https://dev.azure.com/SycSistemas/WAPSA/_boards/board/t/WAPSA%20Team/Stories/?workitem=243 Ticket 352 https://dev.azure.com/SycSistemas/WAPSA/_boards/board/t/WAPSA%20Team/Stories/?workitem=244 22/05 @Cristian Pastor Artigas se crea y se envía documentación para firmas de AM 23/05 @Cristian Pastor Artigas  Enviado a TICA 27/05 @Cristian Pastor Artigas WM adjunta evidencias de pruebas. Se esta a la espera de definir por parte de TICA el dia y hora de hacer los cambios en producción 29/05 @Cristian Pastor Artigas  Cerrado </t>
  </si>
  <si>
    <t>Ticket 366: Solicitud de Pase a Producción Wapsa/WapsaUE v2.17</t>
  </si>
  <si>
    <t>WAPSA\Sprint - Septiembre - 2024</t>
  </si>
  <si>
    <t>[Ver. 2.17]</t>
  </si>
  <si>
    <t xml:space="preserve">Pase a producción Wapsa V 2.17 Ticket 307 - Proyecto WAPSA 2024 - 2 - Mejoras en el cuadre en Wapsa https://dev.azure.com/SycSistemas/WAPSA/_boards/board/t/WAPSA%20Team/Stories/?workitem=186 Ticket 353 - Mina - Lista de Despachos-Se generó un registro duplicado al preasignar vagón por intervención del usuario https://dev.azure.com/SycSistemas/WAPSA/_boards/board/t/WAPSA%20Team/Stories/?workitem=246 Ticket 346 - Guias Electronicas - Proyecto Mejoras WAPSA - 2 - Nuevo Modulo "Emisión de Guias Impala 01" https://dev.azure.com/SycSistemas/WAPSA/_boards/board/t/WAPSA%20Team/Stories/?workitem=236 Ticket 364 - Callao - Lista de Despachos - El filtro por IE's en estado abierto no muestra las que tiene peso = 0 https://dev.azure.com/SycSistemas/WAPSA/_boards/board/t/WAPSA%20Team/Stories/?workitem=282 Ticket 347 - Guias Electronicas - Proyecto Mejoras WAPSA - 2 -  GRE Impresión Guías - Hipervinculos https://dev.azure.com/SycSistemas/WAPSA/_boards/board/t/WAPSA%20Team/Stories/?workitem=237 15/07 @Cristian Pastor Artigas Creando documentos 16/07 @Cristian Pastor Artigas  Se envia para firmas de AM 18/07 @Cristian Pastor Artigas Enviado a TICA </t>
  </si>
  <si>
    <t>Ticket 379 - Wapsa - Solicitud de Pase a Producción Wapsa/WapsaUE v2.18</t>
  </si>
  <si>
    <t>[Ver. 2.18]</t>
  </si>
  <si>
    <t xml:space="preserve">Pase a producción Wapsa V 2.18 Ticket 302 - Guias Electronicas - Proyecto Mejoras WAPSA - 2 - Entregas Directas - Cambiar como se registra el destinatario, que no sea desde el maestro. https://dev.azure.com/SycSistemas/WAPSA/_boards/board/t/WAPSA%20Team/Stories/?workitem=178 Ticket 372 - Modulo Mina - Pesaje Manual - Mejora-Ver vagones observados https://dev.azure.com/SycSistemas/WAPSA/_boards/board/t/WAPSA%20Team/Stories/?workitem=308 Ticket 373 - Modulo Mina - Pesaje - Mejora correos supervisores https://dev.azure.com/SycSistemas/WAPSA/_boards/board/t/WAPSA%20Team/Stories/?workitem=309 Ticket 375 - Modulo Pesaje - Vagones observados - no filtra por los estados https://dev.azure.com/SycSistemas/WAPSA/_boards/board/t/WAPSA%20Team/Stories/?workitem=311 Ticket 376 - Modulo Pesaje - Registro cambio check auto/manual peso tara https://dev.azure.com/SycSistemas/WAPSA/_boards/board/t/WAPSA%20Team/Stories/?workitem=312 Ticket 383 - Callao - Volteo - Link para descargar PDF en Guias Electronicas </t>
  </si>
  <si>
    <t>Ticket 367: Solicitud de Pase a Producción Servicio Movil Wapsa v1.1</t>
  </si>
  <si>
    <t>WAPSA\Sprint - Agosto - 2024</t>
  </si>
  <si>
    <t>En Produccion</t>
  </si>
  <si>
    <t>[Ver. 1.1]</t>
  </si>
  <si>
    <t xml:space="preserve">Pase a producción Servicio Movil Wapsa v1.1 Ticket 346 - Proyecto WAPSA 2024 - 2 - Mejoras en el Inspeccion WAPSA movil https://dev.azure.com/SycSistemas/WAPSA/_boards/board/t/WAPSA%20Team/Stories/?workitem=238 Ticket 308 - Proyecto WAPSA 2024 - 2 - Mejoras en el cuadre en Wapsa Movil https://dev.azure.com/SycSistemas/WAPSA/_boards/board/t/WAPSA%20Team/Stories/?workitem=187 18/07 @Cristian Pastor Artigas  Se envia para firma de AM </t>
  </si>
  <si>
    <t>Ticket 326 Pase a Produccion Wapsa/WapsaUE v2.15</t>
  </si>
  <si>
    <t>[Ver. 2.15]</t>
  </si>
  <si>
    <t>Wapsa</t>
  </si>
  <si>
    <r>
      <t xml:space="preserve">Pase a produccion Version 2.15 Ticket 303 - Proyecto WAPSA 2024 - 1 - Mejoras Embarque a Granel"Extraporturario" Lista despacho.  Ticket 305 - Proyecto WAPSA 2024 - 1 - Mejoras Reporte TMH, TMS,HUMEDAD Lista despacho.  </t>
    </r>
    <r>
      <rPr>
        <sz val="9"/>
        <color theme="1"/>
        <rFont val="Symbol"/>
        <family val="1"/>
        <charset val="2"/>
      </rPr>
      <t>·</t>
    </r>
    <r>
      <rPr>
        <sz val="9"/>
        <color theme="1"/>
        <rFont val="Segoe UI"/>
        <family val="2"/>
      </rPr>
      <t xml:space="preserve"> Ticket 326 - El registro de Pesaje de Mina Muestra ventana dediferencias de peso tara al momento de preasignar.  Ticket 313 - Proyecto WAPSA 2024 - 1 - Aprobación Supervisor por ladiferencia de peso tara en mina.  Ticket 327 - Corrección error al hacer la aprobación de Pesaje ManualMódulo.  Ticket 314 - Proyecto WAPSA 2024 - 1 - Alerta Lista Despacho. 14/03 Se envian documentos para firma de AM @Cristian Pastor Artigas  18/03 AM responde documentos firmados 18/03 Se envia Ticket a TICA para iniciar pase @Cristian Pastor Artigas  20/03 TICA pasa a testing 20/03 Wally revisa y envia correcciones sobre los tickets #192  y  #182  20/03 TICA asigna ticket MCP #102342 </t>
    </r>
  </si>
  <si>
    <t>Ticket 324 - Pase a Produccion Wapsa Servicio Ver. 2.4</t>
  </si>
  <si>
    <t>WAPSA\Sprint - Febrero 2024</t>
  </si>
  <si>
    <t>[Ver.2.4]</t>
  </si>
  <si>
    <t xml:space="preserve">Pase a Produccion Wapsa Servicio Ver.  2.4 15/02: Se moven cambio para preparar version PR 171: Correccion servicio ver 2.4  16/02: @Cristian Pastor Artigas  Se envian formatos a firma de AM  20/02 Aprobo Alexander el pase 22/02 TICA realizo el pase a Produccion son documentacion de casos de pruebas @Cristian Pastor Artigas  </t>
  </si>
  <si>
    <t>Ticket 318 - Pase a Producción Wapsa Ver 2.14</t>
  </si>
  <si>
    <t>[Ver.2.14]</t>
  </si>
  <si>
    <t>#100230</t>
  </si>
  <si>
    <t xml:space="preserve">Pase a produción Wapsa UE y Wapsa * Ticket 319 - Modulo Mina - Mover opciones de aprobación por guía a la pestaña de observados * Ticket 295 - Modulo Mina Pesaje - Nuevo filtro en la vista de vagones observados * Ticket 293 - Modulo mina - los adjuntos para Diferencia de peso tara se estan guardando mal * Ticket 294 - Modulo Mina - Vista de Vagones observados no filtra ni exporta correctamente * Ticket 316 - Modulo Mina - No deja adjuntar las evidencias para duplicidad de precintos * Ticket 301 - Modulo Callao - DIFERENCIA DE PESOS BRUTOS CALLAO * Ticket 296 - Modulo Callao Lista Despacho - Corregir "ITEM" cuando das click en ver "Detalle" por una IE 5/02: Recibidos documentos firmado por Alejandro 6/02: Documentos y mail enviados a TICA 9/02: Disponible en Testing para las pruebas 12/02: Pruebas con Wally:  -Volteo: Solo se tomará en cuenta para obervar el vagon si es que los pesos brutos si es que  la diferencia de pesos de Callao y Mina es inferior al factor. -Inspeccion callao: Correccion de error al agregar sustento al editar el vagon. PR 169: Cambio de Factor y correccion adjuntar editar vagon inspeccion  13/02 Revision con WM se aprueban todas las correciones del CP  Se solicita corregir un texto en la evidencias del pesaje de mina  14/02 Correccion texto en la evidencias del pesaje de mina  PR 170: Correcciones para texto en adjuntos y corregir error de adjuntado en diferencia de pesos mina  16/02 Se envian a Wally las evidencias del pase. Quedamos a la espera de una ultima prueba al pesaje por parte de Wally para cerrar el pase 19/02 Se solicita a Julio que envie el link para que Wally suba las evidencias. Se queda  la espera de fecha del pase 23//02 Alexander asigna el pase a Produccion a Saul para que inidque el dia y hora. 26/02 El pase es reasignado a Julio, en un mail indica que esta por firmas de documentos. 27/02 @Cristian Pastor Artigas  Se solicita actualizacion de estado del pase  01/03 Julio realiza pase pero solo de Wapsa falta WapsaEU @Cristian Pastor Artigas  </t>
  </si>
  <si>
    <t>Proyecto WAPSA 2024 - 3</t>
  </si>
  <si>
    <t>Ticket 355 Proyecto - Agregar grupos de Ensayo en Wapsa</t>
  </si>
  <si>
    <t>WAPSA\Sprint - Enero - 2025</t>
  </si>
  <si>
    <t>En Desarrollo</t>
  </si>
  <si>
    <t xml:space="preserve">Luis Casas solicita: En la transmision de leyes de Cotecna e importacion: - Habilitar 4 columnas de información en el reporte de H2OyLey Callao de Wapsa; grupos (G1,G2,G3,G4) para recibir la data de Cotecna - Generar el maestro: "Grupos de análisis" para seleccionar a qué grupo pertenece cada analito. - Actualizar el reporte en Excel de H2OyLey Callao incluyendo los Grupos. - Habilitar las 4 columnas en el dashboard (HumedadesyLeyes) 28/05 @Cristian Pastor Artigas Se adjunta documento resultante de la reunion </t>
  </si>
  <si>
    <t>Ticket 315 - Proyecto WAPSA 2024 - 1 - Mejoras Logs</t>
  </si>
  <si>
    <t>WAPSA</t>
  </si>
  <si>
    <t>WAPSA web</t>
  </si>
  <si>
    <t xml:space="preserve">Modulo Log 1.1 Listado Log * Mejorar el performance del modulo de logs es demasiado lento * Desarrollar funcioanlidad para guardar los datos del request cuadno se realizan ejemplo si se guardan leyes que valores estan siendo enviados al WAPSA para grabarse. * Modificar scripts para soportar esta nueva columna que obtendrá los datos de datos enviados * Crear nuevas tablas para manejar las llaves y adjuntos * Modificar la UI para poder ver esta nueva columna * Realizar pruebas </t>
  </si>
  <si>
    <t>Ticket 333 - Proyecto Wapsa - Rountrip con GPS</t>
  </si>
  <si>
    <t xml:space="preserve">10/04 @Cristian Pastor Artigas  Reunion con el proveedor CLS Peru en la cual se concretaron los siguientes puntos: -En la aplicacion de CLS que le permite a MIna monitorear los vagones via GPS se registrar el Nro de Guia de Remision en el campo conductor, de momento manualmente lo hara el equipo de Edwin Rios MCP. -El equipo de Edwin registrara la guias desde el Jueves 11/04 hasta el dia lunes  para que luego de eso SyC Sistemas podra 15/04 consultar utilizando el API. -EL dia 15/04 SyC probara haciendo consultas utilizando el API para devolver los datos filtrando por el campo conductor-Guia de remision, -La proxima reunion sera el dia 18 o 19/04 -Se concretara una reunion con Wally a posterior para ver internamnete en Wapsa cuales seran las mejoras una vez podamos consultar la informacion correctamnete desde el API -CLS indico cual es la documentacion que se debe consultar.  https://sdk.wialon.com/wiki/en/sidebar/remoteapi/apiref/report/cleanup_result @Cristian Pastor Artigas  Video de la reunion en los adjuntos del Ticket 15/04 Edwin Rios inidca que ya se esta cargando los Numeros de Guias desde Mina 16/04 @Cristian Pastor Artigas  Se envia consulta a la Empresa del GPS para consultar sobre como obtener los ID's para obtener lueo los reportes  23/04 @Cristian Pastor Artigas CLS responde mail enviando las credenciales de acceso 29/04 @Cristian Pastor Artigas Se envia consulta a CLS porque no se puede obtener la informacion de los puntos del GPS ,  se solicita reunion </t>
  </si>
  <si>
    <t>Ticket 311 - Proyecto WAPSA 2024 - 1 - Envío de información a Impala a través de un servicio</t>
  </si>
  <si>
    <t>WAPSA servicio</t>
  </si>
  <si>
    <t xml:space="preserve">1.Agregar nuevo controlador para enviar informacion a IMPALA Envio de datos * Crear scripts para obtener los datos * Crear logica en el controlador para enviar los mensajes Validaciones * Crear validaciones para los ejes * Modificar el WAPSA para mostrar las validaciones * Crear logica para identificar cuando se reasigno la ruma para actualizar los datos de impala * Realizar pruebas 2.Ejes de Ruma Liberacion de ejes * Crear logica apra librerar ejes * Modificar el WAPSA para usar esta validación * Realizar pruebas 3.Reportes * Crear reporte de ejes de ruma donde se mostraran los eje en uso y los que esten libres para asignación </t>
  </si>
  <si>
    <t>Ticket 304 - Proyecto WAPSA 2024 - 1 - Modificar Proceso Lista despacho</t>
  </si>
  <si>
    <t xml:space="preserve">Descripción: 1.1 Pesos Lista Despacho * Modicar codigo en el momento que se modifiquen pesos se deben eliminar las leyes y humedades existentes. * Modificar UI para consumir nuevo proceso * Realizar pruebas 1.2 Humedades Lista Despacho * Modicar codigo en el momento que se modifiquen pesos se deben eliminar las leyes. * Modificar UI para consumir nuevo proceso * Realizar pruebas Solución: </t>
  </si>
  <si>
    <t>Ticket 312 - Proyecto WAPSA 2024 - 1 - Ajuste final y Repeso total</t>
  </si>
  <si>
    <t xml:space="preserve">Ajuste final y Repeso total 1.1 Ajuste final * Modificar lógica para creación de ajuste para validar lo siguiente: al realizar el ajuste la fecha y hora debe ser mayor al último movimiento (ingreso, salida, junta). * Modificar la UI para mostrar el mensaje y consumir la validación * Realizar pruebas 1.2 REPESO TOTAL * Modificar lógica para creación de ajuste para validar lo siguiente: al realizar el ajuste la fecha y hora debe ser mayor al último movimiento (ingreso, salida, junta). * Modificar la UI para mostrar el mensaje y consumir la validación * Realizar pruebas 1.3 Validaciones adicionales * Crear validacion para poder crear un bloqueo de pesos en tmh si se genera un "Ajuste en TMH" * Crear validacion para poder crear un bloqueo de pesos en tms si se genera un "Ajuste en TMS" * Modificar cada punto de creación de pesos (TMH,TMS) para consumir la validación * Modifcar la UI para consumir estas validaciones * Realizar pruebas </t>
  </si>
  <si>
    <t>Ticket 310 - Proyecto WAPSA 2024 - 1 - Arribo a Mina y a Callao con GPS</t>
  </si>
  <si>
    <t xml:space="preserve">Crear una API 1.1 Crear proceso automatico para leer datos del GPS * Creacion de scripts * Desarrollo del codigo con logica 1.2 Modificar el wapsa * Modificar el WAPSA para soportar una lectura del gps o manual * Realizar pruebas </t>
  </si>
  <si>
    <t>Ticket 306 - Proyecto WAPSA 2024 - 1 - Mantenimiento Equipos-Pesajes</t>
  </si>
  <si>
    <t xml:space="preserve">Mantenimiento de tablas   1.1 Registro de Equipos * Registro de los equipos * Configurar cuenta de correo 1.2 Mantenimiento de tablas * Tipos de mantenimiento * Tipos de averias * Empresas * Ubicación Registro de la programación 2.1 Registro de programación * Registro de programación * Registro de evidencias * Envío de la notificación 2.2 Registro de mantenimiento correctivo * Registro del evento * Registro de las evidencias Reportes * Reporte de programación *  Reporte de Mantenimiento Correctivo </t>
  </si>
  <si>
    <t>Proyecto WAPSA 2024 - 2</t>
  </si>
  <si>
    <t>Ticket 330 - Mejora WAPSA Lista Despacho Diferencias Peso - Embarque Granel</t>
  </si>
  <si>
    <t xml:space="preserve">Descripción: Se requiere que el WAPSA en la lista despacho se tenga un nuevo filtro para saber si estan observador por el nuevo factor para los casos de "Embarque a Granel" y adicional se requeire cambio de los titulos.  Diferencia Balanzas (Almacén 2 - Almacen) Si / No Diferencia Balanzas (Puerto - Almacen) Si / No Ahora: Extraportuario Nuevo: Extraportuario / Balanza 2 Ahora: Almacen Nuevo: Almacen / Balanza 1 Solicitado por Wally Moscoso 20/03 Solución: @Cristian Pastor Artigas Se crea nuevas columnas en el listado y excel con la logica para mostrar el valor de Si/No, pendiente el filtro @Cristian Pastor Artigas  Se crea filtro 02/04 @Cristian Pastor Artigas  Se envia a  06/04 Wally para revision inidca lo siguiente: -Ajustar nombre de columnas -Agregar una configuracion para indicar el codigo del la IE a partir de la cual debe iniciar a funcionar el filtro de diferencias @Cristian Pastor Artigas Se crea configuracion para que el usuario pueda indicar la IE, se ajustan nombres de campos </t>
  </si>
  <si>
    <t>Tickets 347 - Actualizar Manual Usuario de Wapsa</t>
  </si>
  <si>
    <t xml:space="preserve">Por solicitud de TICA(Alexander) en reunion del 07/05 se solicita actualizar el Manual de Usuario de Wapsa 07/05 @Cristian Pastor Artigas  Se actualiza manual y se sube al servidor de SyC </t>
  </si>
  <si>
    <t>Ticket 356 - Servicios Web Callao</t>
  </si>
  <si>
    <t>[Ver. 1.3]</t>
  </si>
  <si>
    <t xml:space="preserve">Descripción: [Image] Solución: 05/06 @Cristian Pastor Artigas Se modifica servicio primeros cambios Volteo Callao. 10/06 @Cristian Pastor Artigas Se crean lo cambios para que marque con diferencias cuando el peso de  Callao excede el de Mina segun factor. 14/06 @Cristian Pastor Artigas Se revisa y se hacen los cambios para el servicio de recepcion de pesos para: Contenerdor Directo, Extraportuario, Traslado Entre establacimientos y Granel Resta revisar Humedades 19/06 @Cristian Pastor Artigas   Esta creado un servicio para los pesos pero puede cambiarse a que se reciban por la GRE, falta definir si Impala enviara la IE por el servicio de GRE. Reunion 20/06 20/06 @Cristian Pastor Artigas En reunion:  Se envia informacion a impala sobre los servicios y a lo interno van a definir los tiempos que tomaría el desarrollo. Impala queda en enviarnos el TAG dentro del cual no esta enviando la IE d eImpala al momento de crear la GRE. A la espera de la informacion de Impala para hacer los cambio en servicio de la GRE para grabar los pesos. </t>
  </si>
  <si>
    <t>Ticket 302 - Guias Electronicas - Proyecto Mejoras WAPSA - 2 - Entregas Directas - Cambiar como se registra el destinatario, que no sea desde el maestro. (mejora posterior</t>
  </si>
  <si>
    <t xml:space="preserve">los Descripción: o Para entregas directas:     Cambiar como se registra el destinatario, que no sea desde el maetro. (mejora posterior) [Image] Solución: 03/06 @Cristian Pastor Artigas   -Creado Lote automatico  28/06 @Cristian Pastor Artigas  Punto 1,2,3,4 Terminado 02/07 @Cristian Pastor Artigas En proceso Punto 5, Se revisó requerimiento con Michael. esta al 100% 24/07 @Cristian Pastor Artigas Se implementa cambio en el servicio externo para que grabe correctamente el tipo de Venta de las GRE emitidas por Impala </t>
  </si>
  <si>
    <t>Ticket 307 - Proyecto WAPSA 2024 - 2 - Mejoras en el cuadre en Wapsa</t>
  </si>
  <si>
    <t>WAPSA Web</t>
  </si>
  <si>
    <t xml:space="preserve">1.1 Callao-Cuadre scripts * Modificación de scripts 1.2 Callao-Cuadre interfaz * Modificar interfaz para colocar la columna(Ruma) nuevas en la grilla * Modificar "input select" para filtrar solo vagones en arribo y agregar al vagon la ruma * Pruebas Logs * Modificar script del log para mostrar los estados correctamente y describir los datos de los errores * Pruebas en el modulo 06/05 @Cristian Pastor Artigas  Se realizan los cambios 10/05 @Cristian Pastor Artigas Se realizan cambios en la App movil para igualar con el Wapsa Web </t>
  </si>
  <si>
    <t>Ticket 238: Ticket 347 - Actualizar documentacion de Wapsa</t>
  </si>
  <si>
    <t xml:space="preserve">Actualizar documentacion de Wapsa (Manual de Usuario) @Cristian Pastor Artigas  Se actualiza el manual y se adjunta en el ticket  https://dev.azure.com/SycSistemas/WAPSA/_boards/board/t/WAPSA%20Team/Stories/?workitem=235 </t>
  </si>
  <si>
    <t>Ticket 346 - Proyecto WAPSA 2024 - 2 - Mejoras en el Inspeccion WAPSA movil</t>
  </si>
  <si>
    <t>Wapsa Movil</t>
  </si>
  <si>
    <t xml:space="preserve">La inspeccion en la app movil no funciona solo permite registrar inspecciones sin fotos. 10/05 @Cristian Pastor Artigas Se corrige: -Registro de Convoy -Listar vagones para inspeccion' -Registro de Vagones con sustentos -Se iguala el flujo de registro de vagones observados para que genere la aprobacion con la foto que se toma con la camara, con el flujo del Wapsa Web -Listado de Vagones por convoy ! </t>
  </si>
  <si>
    <t>Ticket 347 - Guias Electronicas - Proyecto Mejoras WAPSA - 2 - GRE Impresión Guías - Hipervinculos</t>
  </si>
  <si>
    <t>En Testing</t>
  </si>
  <si>
    <t>Frank Macavilca</t>
  </si>
  <si>
    <t xml:space="preserve">Descripción: [Image] [Image] Solución: </t>
  </si>
  <si>
    <t>Ticket 346 - Guias Electronicas - Proyecto Mejoras WAPSA - 2 - Nuevo Modulo "Emisión de Guias Impala 01"</t>
  </si>
  <si>
    <t xml:space="preserve">Descripción: [Image] Solución: 20/05 @Cristian Pastor Artigas  Se realiza creacion de modulo agregando las vistas y controlador, de momento muestra la misma informacion del que modulo de ED 28/05 @Cristian Pastor Artigas Se finaliza desarrollo y se enviará a testing para revision con Michael 29/05 @Cristian Pastor Artigas Se envia a testing para pruebas. A la espera que TICA actualice el ambien para verlo con MC. 11/06 @Cristian Pastor Artigas Se cambia a estado en desarrollo. Se revisa con Wally y se solicita cambiar:  Origen por: ALMACÉN DE MCP (MARIÁTEGUI) Destino: IMPALA 01 Guías de Venta por solo Guía Se debe enviar formato de PDF de GUIA MCP (Antiguo) para que MC proponga los cambios al formato. Se debe enviar formato el TXT de la GRE para que MC lo valide con NeoGrid y envie sus comentarios. 11/06 @Cristian Pastor Artigas   Se realizan los cambios.  PR 189: Principal PR Modulo de Impresion de Guias Impala 01 Ticket 346 y Parte 1 Ticket 356 Se envian formatos para validacion de MC Se deja Ticket en Desarollo hasta obtener respuesta de MC 09/07 @Cristian Pastor Artigas Se envia a testing cambis en TXT y PDF y para validacion final a MC. </t>
  </si>
  <si>
    <t>Ticket 308 - Proyecto WAPSA 2024 - 2 - Mejoras en el cuadre en Wapsa Movil</t>
  </si>
  <si>
    <t>WAPSA movil</t>
  </si>
  <si>
    <t xml:space="preserve">2.1 Callao-Cuadre interfaz * Modificar aplicación para agregar el cambio * Modificar "input select" para filtrar solo vagones en arribo y agregar al vagon la ruma * Realizar pruebas @Cristian Pastor Artigas  Se implementan los cambios </t>
  </si>
  <si>
    <t>Proyecto WAPSA 2024 - 1</t>
  </si>
  <si>
    <t>WAPSA\Sprint - Enero 2024</t>
  </si>
  <si>
    <t>Ticket 314 - Proyecto WAPSA 2024 - 1 - Alerta Lista Despacho</t>
  </si>
  <si>
    <t xml:space="preserve">Modulo Lista Despacho 1.1 Nuevo proceso * crear un factor nuevo para usarlo en el Peso de la IE en el WAPSA * Modificar la UI para poder crear el nuevo flujo de aprobación para la IE que tiene valor en peso 0 pasado 7 días(configurable) - luego enviar un correo diario 7 am  * Desarrollar codigo para las notifiaciones por correo o WAPSA * Realizar pruebas </t>
  </si>
  <si>
    <t>Ticket 313 - Proyecto WAPSA 2024 - 1 - Aprobación Supervisor por la diferencia de peso tara en mina</t>
  </si>
  <si>
    <t xml:space="preserve">Modulo Mina - Pesaje 1.1 Proceso Peso Tara * crear script para nueva columna para aprobación para un segundo supervisor * Modificar script de Listar,Insert, Update para soportar nueva columna * Modificar codigo para utilizar el nuevo campo * Modificar la UI para que pueda aprobar el segundo supervisor * Crear nuevo proceso para enviar correo para el segundo supervisor * Realizar pruebas 11/03 Se finaliza la implementacion quedando en cola para pruebas </t>
  </si>
  <si>
    <t>Ticket 305 - Proyecto WAPSA 2024 - 1 - Mejoras Reporte TMH,TMS, HUMEDAD Lista despacho</t>
  </si>
  <si>
    <t xml:space="preserve">Descripción: 1.1 Store Procedures * Modificacion de scripts en la lógica 1.2 Interfaz WAPSA * Modificación de javascript para mostrar los datos correctos en la vista de "Leyes" por IE * Realizar pruebas Solución: </t>
  </si>
  <si>
    <t>Ticket 303 - Proyecto WAPSA 2024 - 1 - Mejoras Embarque a Granel "Extraporturario" Lista despacho</t>
  </si>
  <si>
    <t xml:space="preserve">Descripción: 1.1 Store Procedures * Script para crear nueva columna * Modificar script de Listar,Insert, Update para soportar nueva columna 1.2 Interfaz WAPSA * Modificación de javascript para mostrar los datos * Modificar el código para soportar esta nueva columna agregada al modelo de datos Realizar pruebas 1.3 Notificación * crear un factor nuevo para usarlo en el Peso de la IE en el WAPSA * Modificar la UI para poder crear el nuevo flujo de aprobación para la IE en la diferencia de pesos es mayor que el factor definido * Crear codigo para crear los flujos de aprobación * Crear nuevas tablas para manejar las llaves y adjuntos * Desarrollar código para las notificaciones por correo o WAPSA * Realizar pruebas Ver Adjunto de Referencia </t>
  </si>
  <si>
    <t>Mejoras Guias Electronicas</t>
  </si>
  <si>
    <t>Ticket 303- Guias Electronicas - Contenedores/Traslados Externos - Realizar mejora en el peso de las guías de Impala, dado que el peso está en kg</t>
  </si>
  <si>
    <t>[Ver.2.13]</t>
  </si>
  <si>
    <t xml:space="preserve">Descripción: Guias Electronicas - Contenedores/Traslados Externos - Realizar mejora en el peso de las guías de Impala, dado que el peso está en kg Solución: </t>
  </si>
  <si>
    <t>Mejoras WAPSA</t>
  </si>
  <si>
    <t>Ticket 295 - Modulo Mina Pesaje - Nuevo filtro en la vista de vagones observados</t>
  </si>
  <si>
    <t xml:space="preserve">Descripción: Mina/despacho, vagones observado: filtros de la vista de vagones observados, debe haber dos estatus (aprobados, pendientes *) *pendientes: hasta que tenga algo pendiente de aprobar Solución: Se corrige filtro por estado, se agrega filtro para ver si hay aprobaciones pendientes: 1-Pend. Aut. Tara 2-Pend. Aut. Bruto 3-Pend. Aut. Uso Peso. Man. Tara 4-Pend. Aut. Uso Peso. Man. Bruto 5-Pend. Aut. Uso Precintos Duplicados  6-Todos </t>
  </si>
  <si>
    <t>Soporte</t>
  </si>
  <si>
    <t>Ticket 332 - Callao-Lista de Despachos-Error en plantilla correo de JOB Factor Pesos</t>
  </si>
  <si>
    <t xml:space="preserve">EL JOB en produccion envia el mail periodicamente pero con error al mostrar la plantilla [Image] 08/04: @Frank Macavilca Corrige script para enviarlo como Ticket 08/04 @Cristian Pastor Artigas Se envia a Alejandro para firma 09/04 @Cristian Pastor Artigas  Enviado a TICA </t>
  </si>
  <si>
    <t xml:space="preserve">Ticket 334 - Error en el listado de vagones observados en Mina </t>
  </si>
  <si>
    <t xml:space="preserve">No se muestran los datos iguales en la misma pantalla de vagones normales y observados Observados: [Image] Normales: [Image] 11/04 @Cristian Pastor Artigas Se envia Formato para la firma 15/04 @Cristian Pastor Artigas Se recibe firma por parte de AM, se envia a TICA  </t>
  </si>
  <si>
    <t>Ticket 337 - Alerta despachos pesos 0 no manda todas las IE's de los dos ultimos meses</t>
  </si>
  <si>
    <t xml:space="preserve">Descripción: El usuario notifico que no se estan enviando todas las IE's con peso 0 de los utimos dos meses Solución: Se valido en el script que se estaban usando valores en duro para consultar los lotes, se procedio a hacerlos dinamicos y que coja los dos ultimos lotes </t>
  </si>
  <si>
    <t>Ticket 343 - Callao- Lista de Despachos - Error en el listado de detalle de pesos de la IE 0052/24</t>
  </si>
  <si>
    <t xml:space="preserve">[Image] 26-04 @Cristian Pastor Artigas Se intenta listar la IE 280/24 si sale la lista vacia se crea validacion para que liste correctamente 26-04 @Cristian Pastor Artigas  Se soluciona el Ticket y se envia formato a AM para firma 29-04 @Cristian Pastor Artigas Se envia PDF firmado por AM a TICA 02/05 @Cristian Pastor Artigas Alexander envia para firmas internas 02/05 @Cristian Pastor Artigas Resuelto </t>
  </si>
  <si>
    <t>Ticket 339 - Mina-Lista de Despacho- Error en el listado de vagones observados listado por lote-fecha</t>
  </si>
  <si>
    <t xml:space="preserve">El usuario indica que no le lista correctamente al utilizar el filtro por fechas Se debe revisara el script si fue ejecutado en el pase 17/04 @Cristian Pastor Artigas  Se revisa script para listado por lote y la correccion va en el ticket #224 . 17/07 @Cristian Pastor Artigas La correccion para el listado de fechas debe ser en la proxima version v2.16   </t>
  </si>
  <si>
    <t xml:space="preserve">Ticket 342 - Ajuste Mensual - Error en datos de la IE 280/24 Ruma R24-004 </t>
  </si>
  <si>
    <t xml:space="preserve">[Image] 26-04 @Cristian Pastor Artigas Se revisa con @Frank Macavilca  y el error se debe a que han importado con datos incorrectos los datos de los pesos para la IE 280/24 \ </t>
  </si>
  <si>
    <t xml:space="preserve">Ticket 338 - Mina-Lista de Despacho- Cambiar Texto de Estado de Dif. Peso Tara </t>
  </si>
  <si>
    <t xml:space="preserve">Cuando se genera un pesaje cuyo peso tara no genera diferencia el sistema le asigna el texto APROBADO, deberia indicar DENTRO DEL RANGO [Image] 18/04 @Cristian Pastor Artigas  Se graba en inicialmente en Dentro del Rango pero se cambiar a Aprobado una vez se registra el Peso Bruto por que se esta cambiando de valor una variable que no debe 18/04 @Cristian Pastor Artigas  Se colocara como cambio en proxima version de Wapsa </t>
  </si>
  <si>
    <t>Ticket 331 - Callao-Volteo Nuevos campos de auditoria</t>
  </si>
  <si>
    <t xml:space="preserve">Agregar dos columnas para que el proceso pueda ser auditado directamente [Image] 08/04 @Cristian Pastor Artigas  se crea columnas de auditoria adicionales en branch https://dev.azure.com/SycSistemas/833274e7-44d5-4093-8f90-9bab7903e605/_git/WAPSA?version=GBcambios/filtra_lista_despacho </t>
  </si>
  <si>
    <t>Ticket 340 - Callao -Lista de Despacho- El listado no filtra por IE's abiertas</t>
  </si>
  <si>
    <t xml:space="preserve">El usuario indica que no le lista correctamente al utilizar el filtro por IE's abiertos 19/04 @Cristian Pastor Artigas  El Listado funciona en desarrollo y en Produccion (WAPSAES), resta comprobar con Wally si el proble es especifico en Wapsa MCP de produccion. Si esta correcto se debe cerrar el ticket </t>
  </si>
  <si>
    <t>Ticket 350 -Callao-Lista de Despacho- El filtro de Dif de Pesos no coloca los textos de diferencia y por ende no filtra correctamente</t>
  </si>
  <si>
    <t xml:space="preserve">Wally indica que no se muestra cuando un embarque a granel no tiene diferencia. Debe mostrarte en las columnas para diferencia en No 21/05 @Cristian Pastor Artigas  En proceso de revision 22/05 @Cristian Pastor Artigas  Se corrige el error PR 187: Correccion para que liste las iE's con TMH 0 y marque los filtros de IEs Gran...  </t>
  </si>
  <si>
    <t>Ticket 352 -Callao-Lista de Despacho- El filtro de carga las IE's con Peso TMH = 0</t>
  </si>
  <si>
    <t xml:space="preserve">Diego Cxardenas detecta que no muestra las IEs con Peso TMH = 0 se queda cargando y no finaliza 22/05 @Cristian Pastor Artigas Se genera correccion PR 187: Correccion para que liste las iE's con TMH 0 y marque los filtros de IEs Gran...  </t>
  </si>
  <si>
    <t>Ticket 335 - Mejora Alerta IE's sin leyes</t>
  </si>
  <si>
    <t xml:space="preserve">Descripción: 1. Debe estar alineada al semáforo, si está en rojo o amarillo debe de listarse 2. Si estuvo en verde y pasa a amarillo o rojo debe de volver a listarse. [Image] Solución: 23/04 @Cristian Pastor Artigas  Script modifcado para listar todas las IE's en rojo o amarillo 06/05 @Cristian Pastor Artigas En espera de crear formato para enviar ticket 15/05 @Cristian Pastor Artigas  Se envia documento para firma de Alejandro 16/05 @Cristian Pastor Artigas Se envia a TICA </t>
  </si>
  <si>
    <t>Ticket 380 - Wapsa - Consulta sobre Cierre IE con peso 0 (YCC0172/23)</t>
  </si>
  <si>
    <t>WAPSA\Sprint - Noviembre - 2024</t>
  </si>
  <si>
    <t xml:space="preserve">Wally Reporta [Image] [Image] </t>
  </si>
  <si>
    <t>Ticket 357 - Revisar datos del Reporte de Leyes del BI para los meses de Mayo y Junio</t>
  </si>
  <si>
    <t>WAPSA\Sprint - Julio - 2024</t>
  </si>
  <si>
    <t xml:space="preserve">Luis Casas indica en la reunion de 11/06 que el reporte de Mayo no le muestra informacion y para Junio le faltan datos de leyes sobre algunas guias. 12/06 @Cristian Pastor Artigas  Se revisa Mayo y Junio y no se muestra la informacion completa porque el script filtra solo por Guias en estado 1 y debe hacerlo para 1 y 2 (preasignado y con Peso Bruto). Se corrige scripit en BI Se corrige script para ejecucion manual en Wapsa se enviara a TICA cambios dentro del Ticket 360  https://dev.azure.com/SycSistemas/WAPSA/_boards/board/t/WAPSA%20Team/Stories/?workitem=257 08/07 @Cristian Pastor Artigas Enviado a TICA </t>
  </si>
  <si>
    <t>Ticket 361 - Callao - Ajuste Mensual - Problema en ajuste en línea R24-013 - JUNIO</t>
  </si>
  <si>
    <t xml:space="preserve">Diego Cardenas reporta  [Image] 24/06 @Cristian Pastor Artigas Se detecta un repeso total duplicado: [Image] @Frank Macavilca  Responde via mail [Image] </t>
  </si>
  <si>
    <t xml:space="preserve">Ticket 368 - Copia de Base de datos de WAPSA y TRADER de Testing y Desarrollo </t>
  </si>
  <si>
    <t xml:space="preserve">Nicolas Solicita: [Image] </t>
  </si>
  <si>
    <t>Ticket 370 - Mina - Despachos - Texto incorrecto en el campo Tipo de Pesaje Manual Tara</t>
  </si>
  <si>
    <t xml:space="preserve">Luis Casas Reporta [Image] @Cristian Pastor Artigas Preparar Formatos Tickets 08/08 @Cristian Pastor Artigas Enviado a TICA </t>
  </si>
  <si>
    <t>Ticket 371 - Wapsa BI- Ejecución Manual - Corregir y cargar data antigua de leyes y datos del Volteo del 2018-2024</t>
  </si>
  <si>
    <t xml:space="preserve">Luis casas reporta: 1. Desde hace una semana aprox, no se está cargando la información automáticamente, se está ejecutando manualmente. 2.       En la tabla HumedadesPesosyLeyes no hay información de antes de Noviembre 2023: 3. En la misma tabla anterior el valor vcLoteCallao está cargando a su vez el sublote en algunas guías, debería ser solo el valor del mes. 27/08 @Cristian Pastor Artigas Falta enviar scripts en ticket para ejecución manual 02/09 @Cristian Pastor Artigas Ticket enviados para firmas 02/09 @Cristian Pastor Artigas Enviado a TICA </t>
  </si>
  <si>
    <t>Ticket 359-Callao-Lista de Despachos-Error al listar pesos de IE's de tipo Contenedor Directo</t>
  </si>
  <si>
    <t xml:space="preserve">El listado de Pesos de este tipo de IE's de queda cargando [undefined] 17/16 @Cristian Pastor Artigas  Se debe corregir script [eq].[EQ_VerDetallexLote_pa] Error: Division By Zero. A la espera de usuario citrix para pruebas TC #109995. 18/06 @Cristian Pastor Artigas Correccion realizada a la espera de formato para firmas. Adjunto al Ticket el script 08/07 @Cristian Pastor Artigas Enviado a TICA </t>
  </si>
  <si>
    <t>Ticket 360 - Alerta despachos pesos 0 no manda datos sobre todas las IE's</t>
  </si>
  <si>
    <t xml:space="preserve">Wally reporta  [Image] Poner IES en una misma lista 19/06 @Cristian Pastor Artigas Se corrige el script quitando restriccion de dias para atras para que utilice los lotes.  Adjunto script. queda a la espera de formato para enviarlo. 08/07 @Cristian Pastor Artigas Enviado a TICA 18/07 @Cristian Pastor Artigas  El correo no muestra el numero de IE </t>
  </si>
  <si>
    <t>Ticket 363 - Mina - Despachos - Columna Estado Diferencia muestra datos no relacionados entre si</t>
  </si>
  <si>
    <t>Wapsa web</t>
  </si>
  <si>
    <t xml:space="preserve">Wally Reporta: [Image] SI no hay diferencias no deberia indicar ESTADO DIF PESO TARA = Aprobado deberia decir DENTRO DEL RANGO </t>
  </si>
  <si>
    <t>Ticket 364 - Callao - Lista de Despachos - El filtro por IE's en estado abierto no muestra las que tiene peso = 0</t>
  </si>
  <si>
    <t xml:space="preserve">Wally Reporta [Image] 09/07 @Cristian Pastor Artigas Corregido. Se agrega archivo script a la espera de enviar correcion a TICA </t>
  </si>
  <si>
    <t>Ticket 358 - Informacion sobre propuesta de mejoras para los Pases a produccion, tickets y ambientes de pruebas</t>
  </si>
  <si>
    <t xml:space="preserve">Nicolas solicitar completar infromacion resulotante de uan reunion con Chnalco sobre propuestas de mejoras acerca de los Pases a produccion, tickets y ambientes de pruebas [Image] 11/06 @Cristian Pastor Artigas Reunion con NV y DM para revisar propuestas de mejoras. 12/06 @Cristian Pastor Artigas  Se envian propuestas a evaluacion de NV </t>
  </si>
  <si>
    <t>Ticket 349 - Mina -Stock- Error al registrar Stock Mina el valor del TMH del dia anterior es incorrecto</t>
  </si>
  <si>
    <t xml:space="preserve">[Image] 21/05 @Cristian Pastor Artigas  Hay un diferencia de 54.86 debido a que un despacho fue registrado con producto=Molibdeno  Nro Guia=T018-0006837 21/05 @Cristian Pastor Artigas Se corrige el despacho cambiando el producto por cobre </t>
  </si>
  <si>
    <t>Ticket 372 - Modulo Mina - Pesaje Manual - Mejora-Ver vagones observados</t>
  </si>
  <si>
    <t xml:space="preserve">Descripción: En la lista de vagones que han sido aprobadospara no destarar (pesaje manual), se debe agregar el detalle de los vagonesobservados. [Image] El usuario requiere que por cada item se despliegue un menu con una opción que diga "Ver Vagones Observados" - Este mostrará un pop up donde se listará los vagones observados según el registro. Solución: </t>
  </si>
  <si>
    <t>Ticket 375 - Modulo Pesaje - Vagones observados - no filtra por los estados</t>
  </si>
  <si>
    <t>Web application</t>
  </si>
  <si>
    <t xml:space="preserve">Descripción: En la pestaña de vagones observados no estáfiltrando correctamente, por ejemplo en Setiembre 2024 se tiene varios vagones pendientesd aprobación por parte del supervisor pero solo aparecen cuando se colocatodos. [Image] Solución: </t>
  </si>
  <si>
    <t>Ticket 373 - Modulo Mina - Pesaje - Mejora correos supervisores</t>
  </si>
  <si>
    <t xml:space="preserve">Descripción: * Si hay algo pendiente de aprobación en vagonesobservados debe llegar un correo a los supervisores mina a modo derecordatorio. Este ejemplo es uso de precinto duplicado mesagosto 2024 [Image] Se requiere tener un job para poder reenviar el correo de recordatorio cada 72 h Solución: </t>
  </si>
  <si>
    <t>Ticket 376 - Modulo Pesaje - Registro cambio check auto/manual peso tara</t>
  </si>
  <si>
    <t>Web Application</t>
  </si>
  <si>
    <t xml:space="preserve">Descripción: Cuando el usuario ya tiene un registro de pesaje en estado "Peso Bruto/Tara" y este pertenece a un grupo de "Pesaje Manual" el sistema te permite cambiar en la balanza a "Auto" lo cual no debería permitir ya que este puede cambiar el guardado del registro [Image] Solución: @Cristian Pastor Artigas  Se revisa caso y se comprueba que las guia generadas durante los pesaje manuales estan correctas; quizas se necesaria una reunion con Carlos Zenteno para comentar este tema. Adjunto Excel con comprobaciones  De momento se cierra Ticket. </t>
  </si>
  <si>
    <t>Ticket 378 - Wapsa - TICA solicita documentación sobre Wapsa</t>
  </si>
  <si>
    <t>WapsaWeb</t>
  </si>
  <si>
    <t xml:space="preserve">TICA solicita:  [Image] 06/09 @Cristian Pastor Artigas Se envia parte de lam documentacion, resta enviar Diagrma de Arquitectura de Wapsa 09/09 @Cristian Pastor Artigas Se envia Documentacion de Arquitectura de Wapsa </t>
  </si>
  <si>
    <t>Ticket 353 - Mina - Lista de Despachos-Se generó un registro duplicado al preasignar vagón por intervención del usuario</t>
  </si>
  <si>
    <t xml:space="preserve">Carlos Zenteno reporta:  Se tuvo inconveniente con el Wapsa al  ingresar pre asignado al guardar un vagon 10008 se demoraba en cargar lo actualice el sistema y generó 2 lotes con el mismo vagon y precinto como se observa en la imagen. [Image] 30/05 @Cristian Pastor Artigas Se replica el caso en Testing.  Diagnóstico: el registro se genera al dar dos clicks seguido al boton guardar. Solucion: Se debe bloquear el boton a dar el guardar. Se debe corregir en versión. 30/05 @Cristian Pastor Artigas  Corregido en  PR 185: Ticket 307 Ticket 346 Ticket 308  . Se tagea Ticket a version 2.17 </t>
  </si>
  <si>
    <t>Ticket 374 - Modulo Pesaje - Vagones Observados esta mal la descripción del estado</t>
  </si>
  <si>
    <t>Resuelto</t>
  </si>
  <si>
    <t xml:space="preserve">Descripción: Al ingresar al detalle de un vagón en vagonesobservados, el punto: “Estado Dif. Peso Tara Supervisor: DENTRO DELRANGO” debe indicar “NO APROBADO” [Image] Revisar porque esta registrandose con ese estado Solución: </t>
  </si>
  <si>
    <t>Ticket 344 - Alerta despachos pesos 0 no manda datos sobre las IE's</t>
  </si>
  <si>
    <t xml:space="preserve">[Image] @Frank Macavilca la IE en cuestion no ha cumplido los 7 dias de registrada hasta la fecha y pos eso no sale en el listado [Image] 04/06 @Cristian Pastor Artigas Se corrige listado para que filtre correctamnete utilizando los lotes actual y el anterior. Se enviara como tikcet. Se envia un formato para firma de AM 11/06 @Cristian Pastor Artigas AM Envia docuemento firmado. Se adjunta 11/06 @Cristian Pastor Artigas Wally solicita en reunion del 11/06, que el listado incluya un lote mas hacia atras del tiempo. Se haran los cambios. S emueve Ticket a estado en Desarrollo 11/06 @Cristian Pastor Artigas Se agrega cambio al script y se envia a TICA 12/06/2023 13:24 pm </t>
  </si>
  <si>
    <t>Ticket 354-Callao-Lista Despachos-Poblema en ajuste en línea R24-010 - MAYO (Resuelto reimportando)</t>
  </si>
  <si>
    <t xml:space="preserve">Diego Cardenas Reporta: [Image] [Image] </t>
  </si>
  <si>
    <t>Ticket 372 - Wapsa Movil - Actualización de Apk en los equipos de Callao(Cotecna)</t>
  </si>
  <si>
    <t xml:space="preserve">Se inslara el dia Lunes 26/08 </t>
  </si>
  <si>
    <t>Ticket 369 - Error de bloqueo de algunas tablas de la base de datos Wapsa (Lock)</t>
  </si>
  <si>
    <t xml:space="preserve">Los usuario inidcan que no pueden realizar transacciones sobre el Wapsa. En reunion con se detecta que un usuario que accedio al parece tiene un proceso bloqueado lo que ocasiona bloqueo sobre los demas. EL DBA desbloquea los accesos para que puedan contiuar operando </t>
  </si>
  <si>
    <t>Ticket 362 - Callao - Lista de Despachos - No se puede Cerrar IE</t>
  </si>
  <si>
    <t xml:space="preserve">Wally reporta: [Image] </t>
  </si>
  <si>
    <t>Ticket 365 - Alerta envio correo IE diferencias pesos TMH Solo envia 1 IE</t>
  </si>
  <si>
    <t xml:space="preserve">Wally Moscoso Reporta [Image] </t>
  </si>
  <si>
    <t>Ticket 373 - Callao - Asignacion - Ruma no visualizada en el listado para Muestreo</t>
  </si>
  <si>
    <t xml:space="preserve">Luis casas reporta Que una ruma nose visualiza en: [Image] 25/08 @Frank Macavilca Solucionado. Configuración de tipo muestro para el almacen modulo "Configuración - Conf. Tipo Muestreo" </t>
  </si>
  <si>
    <t>Ticket 381 - Wapsa - Callao - Correccion en el listado de vagones disponibles para cuadre</t>
  </si>
  <si>
    <t xml:space="preserve">Carlos Linares Reporta que en Callao-Cuadre no lista vagones con inspeccion Esta correccion fue realizada en el pase a produccion de la version Wapsa v2.17 </t>
  </si>
  <si>
    <t>Ticket 327 - Error en Month Evidence historico de Ruma R24-002</t>
  </si>
  <si>
    <t xml:space="preserve">[Image] La ruma 45 es parte del historico de la ruma 002 19/03 @Cristian Pastor Artigas  se envia para firmas de Alejandro </t>
  </si>
  <si>
    <t>Ticket 318 - Aprobacion Inspeccion Vagones</t>
  </si>
  <si>
    <t>Consulta</t>
  </si>
  <si>
    <t xml:space="preserve">Descripción: El sgte vagón fueaprobado por Edwin Rios, sin embargo, sale mi usuario como si hubiese aprobadola observación. Favor podrían revisar que paso   [Image] Solución: En la situación situ diste aprobar primero con esa aprobación se queda el registro asi el otrousuario aprobó luego se queda con tu usuario.   Revisando el códigono vemos algún cambio y vemos los otros registros que están siendo guardadoscorrectamente. </t>
  </si>
  <si>
    <t>Ticket 323 - WAPSA - Modulo impresion ED anulación error</t>
  </si>
  <si>
    <t xml:space="preserve">Descripción: El usuario indica que se tiene una guía en el modulo de entrega directa que se genero correctamente la GRE pero visualmente se ve en el wapsa como estado anulado y sin fecha de impresión Solución: Se verifico el caso y el usuario dio dos veces click ocasionando un error en el WAPSA </t>
  </si>
  <si>
    <t>Ticket 323 - Wapsa Reporte Asignacion - Muestra el valor incorrecto de TMH Guia T018-0001621</t>
  </si>
  <si>
    <t xml:space="preserve">Ticket 323 - Wapsa Reporte Asignacion - Muestra el valor incorrecto de  TMH Guia T018-0001621 -El reporte suma de forma incorrecta el TMS por esta duplicada la Guia T018-0001621 en Entregas directas. -Se corrige modificando en entrega directa la Guia T018-0001621 a estado =0 </t>
  </si>
  <si>
    <t>Ticket 325 - El mail de inspección Mina-Callao muestra los checks de inspección incorrectamente</t>
  </si>
  <si>
    <t xml:space="preserve">Michael Curi ha reportado: [Image][Image] Ticket 325 - El mail de inspección Mina-Callao muestra los checks de inspección incorrectamente El orden en el que se muetran los checks de la inspección dentro del mail no coincide con el de Wapsa. 22/02 Se detecta que tambien ocurre en inspeccion Mina 22/02 Se corrige y se envia formato a Alejandro para la firma y eviarlo como Ticket @Cristian Pastor Artigas  27/02 Se envia Ticket a TICA @Cristian Pastor Artigas  01/03 Alexander envia Ticket a la Mesa de Servicios @Cristian Pastor Artigas  04/03 Se consulta por el estado del Ticker no se obtiene respuesta @Cristian Pastor Artigas  11/03 Se consulta por el estado del Ticker no se obtiene respuesta @Cristian Pastor Artigas </t>
  </si>
  <si>
    <t>Ticket 329 - Error al listar Stock de Mina</t>
  </si>
  <si>
    <t xml:space="preserve">[Image] 19/03 @Frank Macavilca  Detecta que un error en la conexion de Wapsa con la base de datos del servidor PIServer. Se envia correo a Alexander para que verifique esta conexion   25/03 Error fue de la conexión que se tiene con PIServer </t>
  </si>
  <si>
    <t>Ticket 323 - Wapsa - Callao Muestreo: Se registaron guias con lote CC2402 en vez de CC2401</t>
  </si>
  <si>
    <t xml:space="preserve">[Image] 15/05: Revisar listado de guia; LC inidca que tiene fecha de muestreo del lote CC2402 pero el sistema asigno lote CC2402 15/05: Se revisa el listado y el muestreo se grabo entre las 8 y 8:30 am del dia 26/04 por ende el sistema le asigno el lote 2402 </t>
  </si>
  <si>
    <t>Ticket 297 - Modulo Callao - Stock Callao - Error valores en TMS</t>
  </si>
  <si>
    <t xml:space="preserve">/Descripción: Stock Callao (revisará MM). Pendiente Michael tiene que enviar los valores correctos  Actualización  29/01: Michael reviso testing, comenta que el resumen en TMS la suma de las rumas no da el resultado total. El Valor final que sale del TMS se debe ver reflejado como valor inicial en el siguiente mes Solución: 31/01/2024 Se tiene solucion  del ticket. Se envia formato para firma de Alejandro @Cristian Pastor Artigas  31/10/2023 En firmas Por TICA </t>
  </si>
  <si>
    <t>Ticket 290 - Modulo Callao - El Wapsa permitió grabar un Numero de Guía Electrónica con la letra T en minúscula en Volteo</t>
  </si>
  <si>
    <t>#96873</t>
  </si>
  <si>
    <t xml:space="preserve">Descripción: El Wapsa permitió grabar un Numero de Guía Electrónica con la letra T en minúscula en Volteo Solución: </t>
  </si>
  <si>
    <t>Ticket 291 - Modulo Callao - Mail de inspección observada en Callao sin data (mail en blanco)</t>
  </si>
  <si>
    <t>#97296</t>
  </si>
  <si>
    <t xml:space="preserve">Descripción: Mail de inspección observada en Callao sin data (mail en blanco) Solución: </t>
  </si>
  <si>
    <t>Ticket 326 - Modulo Mina - Stock - la lista demora aprox 8 mintos para mostrar la informacion</t>
  </si>
  <si>
    <t xml:space="preserve">Jorge Garcia reporta que no carga la pantalla del stock Diario. 26/02 Se revisa listado se valida indexado y se envia correo a Jorge para verficar si ya se corrgió el listado @Cristian Pastor Artigas  </t>
  </si>
  <si>
    <t>Ticket 321 - Modulo Callao - Volteo- Diferencia pesos brutosMina-Callao no esta evaluando correctamente cuando es mayor al factor</t>
  </si>
  <si>
    <t xml:space="preserve">Descripción: Modulo Callao - Volteo- Diferencia pesos brutosMina-Callao no esta evaluando correctamente cuando es mayor al factor Solución: Se cambio lógica para corregir este error </t>
  </si>
  <si>
    <t>Ticket 320 - Modulo Mina - pesaje - Diferencia pesos tara no esta evaluando correctamente cuando es mayor al factor</t>
  </si>
  <si>
    <t xml:space="preserve">Descripción: Modulo Mina - pesaje - Diferencia pesos tara no esta evaluando correctamente cuando es mayor al factor Solución: Se cambio lógica para corregir este error </t>
  </si>
  <si>
    <t>Ticket 319 - Modulo Mina - Mover opciones de aprobacion por guia a la pestaña de observados</t>
  </si>
  <si>
    <t xml:space="preserve">Descripción: Mina/despacho: mover las opciones de click derecho referidas a  aprobaciones a la pestaña de observados Solución: Se mueven botones de de aprobaciones a pestaña de observados </t>
  </si>
  <si>
    <t>Ticket 293 - Modulo mina - los adjuntos para Diferencia de peso tara se estan guardando mal</t>
  </si>
  <si>
    <t xml:space="preserve">Descripción: Mina/despacho: Los casos revisados son de diferencia de peso Tara, los adjuntos se están grabando en Peso Bruto (corregir) Solución: Se realiza correccion @Cristian Pastor Artigas 13/02 Pendiente revisión </t>
  </si>
  <si>
    <t>Ticket 294 - Modulo Mina - Vista de Vagones observados no filtra ni exporta correctamente</t>
  </si>
  <si>
    <t xml:space="preserve">Descripción: Mina/despacho, vagones observados: No se exporta por completo la lista de vagones despachados observados  // vista de aprobación de pesaje manual bruto y tara Solución: Correccion realizada @Cristian Pastor Artigas  </t>
  </si>
  <si>
    <t>Ticket 316 - Modulo Mina - No deja adjuntar las evidencias para duplicidad de precintos</t>
  </si>
  <si>
    <t xml:space="preserve">Descripción: Modulo Mina - No deja adjuntar las evidencias para duplicidad de precintos Solución: @Cristian Pastor Artigas  Se implementa el cambio, en espera de programar pase </t>
  </si>
  <si>
    <t>Ticket 301 - Modulo Callao - DIFERENCIA DE PESOS BRUTOS CALLAO</t>
  </si>
  <si>
    <t xml:space="preserve">Descripción: Hola Cristian después del primer caso de diferencia de pesos (marcado en amarillo), el Wapsa no ha reconocido lo 03 siguientes que figuran en la siguiente lista. Pf revisar urgente que paso. Nota: veo que la única diferencia es la guía electrónica (T).. [Image] [Image] Solución: Se fuerza el cambio del valor iDisplayLength a = 10000 para el método ObtenerListaVolteoObsAlmacenDetallePaginado </t>
  </si>
  <si>
    <t>Ticket 292 - Error proceso aprobación pesaje Manual - Mina</t>
  </si>
  <si>
    <t xml:space="preserve">Descripción: No se puede aprobar o rechazar desde el mail el pesaje manual automático (no funciona al dar click de aprobar o rechazar) </t>
  </si>
  <si>
    <t>Ticket 341 - Cerrar IE Arrow 198/23 - No se puede por el WAPSA</t>
  </si>
  <si>
    <t xml:space="preserve">Descripción: Se requiere que la IE "Arrow 198/23" se pueda cerrar. Actualmente no se puede porque no contiene datos y se tiene un validación que solo se puede cerrar una vez cumpla las condiciones de tener pesos y humedades completas Solución: 21/05 @Cristian Pastor Artigas Cerrada via Wapsa </t>
  </si>
  <si>
    <t>Ticket 327 - Correccion error al hacer la aprobacion de Pesaje Manual Módulo</t>
  </si>
  <si>
    <t xml:space="preserve">Wally inidca que al aprobar por el correo el Pesaje Manual no cambia de estado. 08/03: Se corrige error de parobacion @Cristian Pastor Artigas  11/03: Se envia a testing para prueba rapida esta ok @Cristian Pastor Artigas  </t>
  </si>
  <si>
    <t>Ticket 330 - El registro de Pesaje de Mina Muestra ventana de diferencias de peso tara al momento de preasignar</t>
  </si>
  <si>
    <t xml:space="preserve">[Image] 05/03 Error al momento de oreasignar </t>
  </si>
  <si>
    <t>Ticket 317 - Modulo Mina-Callao - Inspección - En la lista de observados el orden de los checks no es igual al que se guardó</t>
  </si>
  <si>
    <t xml:space="preserve">Descripción: Modulo Mina y Callao - Inspeccion En la lista de observados no se muestra el check de inspeccion en el orden que se guardo Solución: Se corrige  script para ajustar ordenamiento al mostrar los valores de la inspeccion </t>
  </si>
  <si>
    <t>Ticket 299 - Modulo Callao - No llega el mail de vagones con diferencia de pesos brutos en Callao / Volteo (pendiente notificación)</t>
  </si>
  <si>
    <t xml:space="preserve">Descripción: No llega el mail de vagones con diferencia de pesos brutos en Callao / Volteo (pendiente notificación) 30/01: Sigue pendiente crear la notificación - Cristian SYC 02/02: Pendiente Wally crear la notifiación </t>
  </si>
  <si>
    <t>Ticket 296 - Modulo Callao Lista Despacho - Corregir "ITEM" cuando das click en ver "Detalle" por una IE</t>
  </si>
  <si>
    <t xml:space="preserve">Descripción: Corregir el ITEM para cuando se despliega el “VER DETALLE” de pesos en traslados externos y contenedores en la lista de despacho Solución: </t>
  </si>
  <si>
    <t>Ticket 300 - Modulo Callao Lista Despacho - Cierre de IE's</t>
  </si>
  <si>
    <t xml:space="preserve">Descripción: Cierre de IE’s – Hay 3 IE’s que la leyes están de color amarillo en la lista de despacho y el usuario indica que ya tiene todas las guías importadas Solución: Tieene que volver a importar las leyes por estos casos debido a que el WAPSA no guardo las leyes de todas las guías </t>
  </si>
  <si>
    <t>WAPSA\Sprint - Febrero - 2025</t>
  </si>
  <si>
    <t>[Ver. 2.21]</t>
  </si>
  <si>
    <t>WAPSA\Sprint - Diciembre - 2024</t>
  </si>
  <si>
    <t>[Ver. 2.19]</t>
  </si>
  <si>
    <t>[Ver. 2.20]</t>
  </si>
  <si>
    <t>Wapsa ES</t>
  </si>
  <si>
    <t>Ticket 402 - Wapsa - Callao - E. Shipments - Cuando ocurre un bloqueo al obtener data del Trader Wapsa no muestra el error</t>
  </si>
  <si>
    <t>Ticket 404- Wapsa - Mina- Despacho - Correo de Dif Peso Tara del Supervisor debe indicar la palabra Supervisor en el asunto</t>
  </si>
  <si>
    <t>Repetitivo-por-resolver</t>
  </si>
  <si>
    <t>Ticket 411 - Wapsa - Callao - Stock - No muestra los vagones de limpeza en el dia que corresponde de acuerdo a la fechaHora MCP (Enviado en 407)</t>
  </si>
  <si>
    <t>Ticket 401 - Wapsa - Callao - Ajuste Mensual - El listado de Facturas/Notas no debe sumar NC/ND que pertenezcan a ventas documentarias</t>
  </si>
  <si>
    <t>Ticket 405 - Wapsa - Callao - Ajuste Mensual - No totaliza correctamente el TMS</t>
  </si>
  <si>
    <t>Proyecto WAPSA 2025 - 1</t>
  </si>
  <si>
    <t>Ticket 333 - Wapsa - General - Proyecto Wapsa - Rountrip con GPS</t>
  </si>
  <si>
    <t>WAPSA\Sprint - Marzo - 2025</t>
  </si>
  <si>
    <t>Requerimiento Nuevo-Area Comercial</t>
  </si>
  <si>
    <t>No implica estabilización</t>
  </si>
  <si>
    <t>Ticket 355 Wapsa - General - Proyecto - Agregar grupos de Ensayo en Wapsa</t>
  </si>
  <si>
    <t>Cristian Pastor Artigas &lt;cartigas@syc-sistemas.com&gt;</t>
  </si>
  <si>
    <t>Ticket 310 - Proyecto WAPSA 2024 - 1 - Arribo a Mina y a Callao  con GPS</t>
  </si>
  <si>
    <t>Ticket 366 - Wapsa - General - Solicitud de Pase a Producción Wapsa/WapsaUE v2.17</t>
  </si>
  <si>
    <t>Ticket 379 - Wapsa - General - Solicitud de Pase a Producción Wapsa/WapsaUE v2.18</t>
  </si>
  <si>
    <t>Ticket 345 - Wapsa - General - Solicitud de Pase a Producción Wapsa/WapsaUE v2.16</t>
  </si>
  <si>
    <t>Ticket 351 - Wapsa - General - Solicitud de Pase a Producción Wapsa/WapsaUE v2.16.1</t>
  </si>
  <si>
    <t>S&amp;C Sistemas</t>
  </si>
  <si>
    <t>Estabilización por proyecto</t>
  </si>
  <si>
    <t>Ticket 326 - Wapsa - General -  Pase a Produccion Wapsa/WapsaUE v2.15</t>
  </si>
  <si>
    <t>Ticket 420 - Wapsa - General - Pase a Produccion Wapsa v2.21 Mantenimiento Feb-2025</t>
  </si>
  <si>
    <t>Ticket 318-1 - Wapsa - General -  Pase a Producción Wapsa  Ver 2.14</t>
  </si>
  <si>
    <t>Ticket 324 - Wapsa ES - General - Pase a Produccion Wapsa Servicio Ver.  2.4</t>
  </si>
  <si>
    <t>Ticket 400 - Wapsa - General - Pase a Produccion Wapsa v2.19</t>
  </si>
  <si>
    <t>Ticket 410 - Wapsa - General - Pase a Produccion Wapsa v2.20</t>
  </si>
  <si>
    <t>Ticket 367 - Wapsa Movil - General - Solicitud de Pase a Producción Servicio Movil Wapsa v1.1</t>
  </si>
  <si>
    <t>Ticket 377 - Wapsa BI - General - Ejecución Manual - Resta copiar guias sin volteo en el reporte de datos de mina</t>
  </si>
  <si>
    <t>Ticket 348 - Wapsa BI - General - Valores repetidos en Reporte de Pesos y Leyes del BI</t>
  </si>
  <si>
    <t>Ticket 298 - WAPSA BI - General - Reproceso del dashboard del 01 al 07 enero</t>
  </si>
  <si>
    <t>Ticket 322 - Wapsa BI - General - Reproceso de tabla de Humedades, pesos y leyes Correccion en Wapsa</t>
  </si>
  <si>
    <t>Ticket 328 -  Wapsa BI - General - Error ejecucion a demanda Humedades, pesos y leyes</t>
  </si>
  <si>
    <t>Ticket 336 - Wapsa BI - General - La ejecucion a demanda del reporte de BI de Pesos y Leyes no actualiza data</t>
  </si>
  <si>
    <t>Ticket 307 - Wapsa - Callao - Cuadre - Proyecto WAPSA 2024 - 2 - Mejoras en el cuadre en Wapsa</t>
  </si>
  <si>
    <t>Ticket 346 - Wapsa - Callao - Emision Guias Impala 01 - Guias Electronicas - Proyecto Mejoras WAPSA - 2 - Nuevo Modulo "Emisión de Guias Impala 01"</t>
  </si>
  <si>
    <t>Ticket 302 - Wapsa - Callao - Gestor Guías Remisión - Guias Electronicas - Proyecto Mejoras WAPSA - 2 - Entregas Directas - Cambiar como se registra el destinatario, que no sea desde el maestro. (mejora posterior</t>
  </si>
  <si>
    <t>Ticket 330 - Wapsa - Callao - Lista Despacho - Mejora WAPSA Lista Despacho Diferencias Peso - Embarque Granel</t>
  </si>
  <si>
    <t>Ticket 347 - Wapsa - General - Actualizar documentacion de Wapsa</t>
  </si>
  <si>
    <t>Externos</t>
  </si>
  <si>
    <t>Tickets 347 - Wapsa - General - Actualizar Manual Usuario de Wapsa</t>
  </si>
  <si>
    <t>Ticket 308 - Wapsa Movil - Callao - Cuadre - Proyecto WAPSA 2024 - 2 - Mejoras en el cuadre en Wapsa Movil</t>
  </si>
  <si>
    <t>Ticket 347 - Wapsa - Callao - Gestor Guías Remisión - Guias Electronicas - Proyecto Mejoras WAPSA - 2 -  GRE Impresión Guías - Hipervinculos</t>
  </si>
  <si>
    <t>Frank Macavilca &lt;dmacavilca@syc-sistemas.com&gt;</t>
  </si>
  <si>
    <t>Ticket 346 - Wapsa Movil - General - Proyecto WAPSA 2024 - 2 - Mejoras en el Inspeccion WAPSA movil</t>
  </si>
  <si>
    <t>[Ver. 2.22]</t>
  </si>
  <si>
    <t>Ticket 426 - D. Logs</t>
  </si>
  <si>
    <t>Estabilización de req. de Mantenimiento</t>
  </si>
  <si>
    <t>Ticket 353 - Wapsa - Mina - Pesaje - Lista de Despachos-Se generó un registro duplicado al preasignar vagón por intervención del usuario</t>
  </si>
  <si>
    <t>Error del usuario</t>
  </si>
  <si>
    <t>Ticket 371 - Wapsa BI - General - Ejecución Manual - Corregir y cargar data antigua de leyes y datos del Volteo del 2018-2024</t>
  </si>
  <si>
    <t>Ticket 374 - Wapsa - Mina - Pesaje - Vagones Observados esta mal la descripción del estado</t>
  </si>
  <si>
    <t>Ticket 378 - Wapsa - General - TICA solicita documentación sobre Wapsa</t>
  </si>
  <si>
    <t>Ticket 382 - Wapsa - Mina - C.Stock - Listado de Stock demora para mostrar información</t>
  </si>
  <si>
    <t>Servidor MCP</t>
  </si>
  <si>
    <t>Ticket 372 - Wapsa - Mina - Pesaje - Pesaje Manual - Mejora-Ver vagones observados</t>
  </si>
  <si>
    <t>Ticket 373 - Wapsa - Mina - Pesaje - Mejora correos supervisores</t>
  </si>
  <si>
    <t>Ticket 375 - Wapsa - Mina - Pesaje - Vagones observados - no filtra por los estados</t>
  </si>
  <si>
    <t>Ticket 376 - Wapsa - Mina - Pesaje - Registro cambio check auto/manual peso tara</t>
  </si>
  <si>
    <t>A&amp;S</t>
  </si>
  <si>
    <t>Ticket 381 - Wapsa - Callao - Cuadre - Correccion en el listado de vagones disponibles para cuadre</t>
  </si>
  <si>
    <t>Ticket 383 - Wapsa - Callao - Volteo - Link para descargar PDF en Guias Electronicas</t>
  </si>
  <si>
    <t>Ticket 384 - Wapsa - Mina - Pesaje - Despachos - No se genero la GRE T018-0014158(salto en el correlativo)</t>
  </si>
  <si>
    <t>Ticket 380 - Wapsa - Callao - Lista Despacho - Consulta sobre Cierre IE con peso 0 (YCC0172/23)</t>
  </si>
  <si>
    <t>Ticket 386 - Wapsa - Mina - Pesaje - El correo de despachos pendientes por aprobación del sup. llega vacio</t>
  </si>
  <si>
    <t>Ticket 387 - Wapsa - Callao - Asignacion - La reasignación no se genera correctamente y no se muestra en los reportes de stock</t>
  </si>
  <si>
    <t>Ticket 388 - Wapsa - Mina - Pesaje - Correcciones listado de vagones observados y columna peso tara supervisor</t>
  </si>
  <si>
    <t>Ticket 389 - Wapsa - Mina - Pesaje -  Cambia columna Aprobacion pesaje Manual tara cuando es con pesaje manual pre aprobado</t>
  </si>
  <si>
    <t>Ticket 390 - Wapsa - Mina - Pesaje - Error Sublote 1068  Wapsa muestra que no pertenece a ningun lote y no se puede pesar el bruto</t>
  </si>
  <si>
    <t>Ticket 391 - Wapsa - Mina - Pesaje - Error con guia T018-0013488 Sublote: 1863 Lote: CT2409 cambiar estado  aprobado</t>
  </si>
  <si>
    <t>Ticket 393 - Wapsa - Mina - Pesaje - Wapsa no debe permitir registrar pesos al momento de preasignar y mejorar columnas del listado</t>
  </si>
  <si>
    <t>Ticket 392 - Wapsa - Mina - Pesaje - Mail - Faltante de Stock en Mina correo llega con un dia incorrecto en el texto</t>
  </si>
  <si>
    <t>Ticket 394 - Wapsa - Callao -  Operaciones - Ventana de error al listar de la pestaña operaciones</t>
  </si>
  <si>
    <t>Ticket 395 - Wapsa - Mina - Pesaje - Despacho - Error al intentar asignar peso tara a un despacho (Bloqueo de tablas)</t>
  </si>
  <si>
    <t>Ticket 396 - Wapsa - Mina - Pesaje - Agregar Vagones sin destare por pesaje manual Lote CT 2410</t>
  </si>
  <si>
    <t>Ticket 398 - Wapsa - Mina - Pesaje - Mejorar ventanas de bloqueo/cargando al registrar o actualizar un pesaje</t>
  </si>
  <si>
    <t>Ticket 408 - Wapsa - Callao - Ajuste Mensual - Mail - Correo sobre Faltante de Stock en Mina cambio de horario de recepcion</t>
  </si>
  <si>
    <t>Ticket 331 - Wapsa - Callao - Volteo - Nuevos campos de auditoria</t>
  </si>
  <si>
    <t>Ticket 335 - Wapsa - Callao - Lista Despacho - Mejora Alerta IE's sin leyes</t>
  </si>
  <si>
    <t>Ticket 338 - Wapsa - Mina - Pesaje - Lista de Despacho- Cambiar Texto de Estado de Dif. Peso Tara</t>
  </si>
  <si>
    <t>Ticket 339 - Wapsa - Mina - Pesaje - Error en el listado de vagones observados listado por lote-fecha</t>
  </si>
  <si>
    <t>Ticket 340 - Wapsa - Callao - Lista de Despacho - El listado no filtra por IE's abiertas</t>
  </si>
  <si>
    <t>Ticket 341 - Wapsa - Callao - Lista Despacho - Cerrar IE Arrow 198/23 - No se puede por el WAPSA</t>
  </si>
  <si>
    <t>Omisión del usuario</t>
  </si>
  <si>
    <t>Ticket 349 - Wapsa - Mina - C.Stock - Error al registrar Stock Mina el valor del TMH del dia anterior es incorrecto</t>
  </si>
  <si>
    <t>Ticket 350 - Wapsa - Callao - Lista de Despacho - El filtro de Dif de Pesos no coloca los textos de diferencia y por ende no filtra correctamente</t>
  </si>
  <si>
    <t>Ticket 352 - Wapsa - Callao - Lista de Despacho - El filtro de carga las IE's con Peso TMH = 0</t>
  </si>
  <si>
    <t>Ticket 354- Wapsa - Callao - Lista Despachos - Problema en ajuste en línea R24-010 - MAYO (Resuelto reimportando)</t>
  </si>
  <si>
    <t>Ticket 325 - Wapsa - Mina - Inspección - El mail de inspección Mina-Callao muestra los checks de inspección incorrectamente</t>
  </si>
  <si>
    <t>Ticket 330 - Wapsa - Mina - Pesaje - El registro de Pesaje de Mina Muestra ventana de diferencias de peso tara al momento de preasignar</t>
  </si>
  <si>
    <t>Ticket 327 - Wapsa - Mina - Pesaje - Correccion error al hacer la aprobacion de Pesaje Manual Módulo</t>
  </si>
  <si>
    <t>Ticket 327 - Wapsa - Callao - Ajuste Mensual - Error en Month Evidence historico de Ruma R24-002</t>
  </si>
  <si>
    <t>Ticket 329 - Wapsa - Mina - Stock - Error al listar Stock de Mina</t>
  </si>
  <si>
    <t>Ticket 384 - Wapsa - General - Configuracion -  Crear Modulo para guardar las plantilla de importacion de datos</t>
  </si>
  <si>
    <t>Ticket 385 - Wapsa ES - General - Proyecto 2024 - Crear API para recibir/ver informacion de Grupo Ensayos (Relacion con Ticket 355)</t>
  </si>
  <si>
    <t>Ticket 397 - Wapsa - Callao - Evidence Of Shipments - Evidence of Shipment nuevo caso NC</t>
  </si>
  <si>
    <t>Ticket 403 - Wapsa ES - GRE's - Validar que existan datos de balanzas en Wapsa cuando se crea la GRE</t>
  </si>
  <si>
    <t>Ticket 419 - Wapsa - Callao - C.Stock - Los valores de la pestaña Stock, Ingresos y su detalle tiene valores que no coinciden con los stock diarios reportados por Michael</t>
  </si>
  <si>
    <t>Ticket 421 - Wapsa - Mina - Pesaje - Error en correlativo del numero de guia al momento de generar la GRE</t>
  </si>
  <si>
    <t>Ticket 430 - Wapsa - Mina -  C.Stock - Email de advertencia de carga de Stock debe inidcar faltante sobre al dia Chinalco inmediato anterior</t>
  </si>
  <si>
    <t>Ticket 344 - Wapsa - Callao - Lista Despacho - Alerta despachos pesos 0 no manda datos sobre las IE's</t>
  </si>
  <si>
    <t>Ticket 358 - Wapsa - General - Informacion sobre propuesta de mejoras para los Pases a produccion, tickets y ambientes de pruebas</t>
  </si>
  <si>
    <t>Ticket 361 - Wapsa - Callao - Ajuste Mensual - Problema en  ajuste en línea R24-013 - JUNIO</t>
  </si>
  <si>
    <t>Ticket 357 - Wapsa BI - General - Revisar datos del Reporte de Leyes del BI para los meses de Mayo y Junio</t>
  </si>
  <si>
    <t>Ticket 359 - Wapsa - Callao - Lista Despacho - Error al listar pesos de IE's de tipo Contenedor Directo</t>
  </si>
  <si>
    <t>Ticket 360 - Wapsa - Callao - Lista Despacho - Alerta despachos pesos 0 no manda datos sobre todas las IE's</t>
  </si>
  <si>
    <t>Ticket 362 - Wapsa - Callao - Lista Despacho - No se puede Cerrar IE</t>
  </si>
  <si>
    <t>Ticket 363 - Wapsa - Mina - Pesaje -  Despachos - Columna Estado Diferencia muestra datos no relacionados entre si</t>
  </si>
  <si>
    <t>Ticket 365 - Wapsa - Callao - Lista Despacho - Alerta envio correo IE diferencias pesos TMH Solo envia 1 IE</t>
  </si>
  <si>
    <t>Ticket 369 - Wapsa - Mina - Pesaje - Error de bloqueo de algunas tablas de la base de datos Wapsa (Lock)</t>
  </si>
  <si>
    <t>Ticket 292 - Wapsa - Mina - Pesaje - Error proceso aprobación pesaje Manual - Mina</t>
  </si>
  <si>
    <t>Ticket 293 - Wapsa - Mina - Pesaje - Los adjuntos para Diferencia de peso tara se estan guardando mal</t>
  </si>
  <si>
    <t>Ticket 294 - Wapsa - Mina - Pesaje - Vista de Vagones observados no filtra ni exporta correctamente</t>
  </si>
  <si>
    <t>Ticket 296 - Wapsa - Callao - Lista Despacho - Corregir "ITEM" cuando das click en ver "Detalle" por una IE</t>
  </si>
  <si>
    <t>Ticket 297 - Wapsa - Callao - C.Stock - Error valores en TMS</t>
  </si>
  <si>
    <t>Ticket 299 - Wapsa - Callao - Volteo -  No llega el mail de vagones con diferencia de pesos brutos en Callao / Volteo (pendiente notificación)</t>
  </si>
  <si>
    <t>Ticket 300 - Wapsa - Callao - Lista Despacho - Cierre de IE's</t>
  </si>
  <si>
    <t>Ticket 301 - Wapsa - Callao - Volteo - DIFERENCIA DE PESOS BRUTOS CALLAO</t>
  </si>
  <si>
    <t>Ticket 316 - Wapsa - Mina - Pesaje - No deja adjuntar las evidencias para duplicidad de precintos</t>
  </si>
  <si>
    <t>Ticket 317 - Wapsa - Mina - Inspección - En la lista de observados el orden de los checks no es igual al que se guardó</t>
  </si>
  <si>
    <t>Ticket 319 - Wapsa - Mina - Inspección - Mover opciones de aprobacion por guia a la pestaña de observados</t>
  </si>
  <si>
    <t>Ticket 318 - Wapsa - Callao- Inspección - Aprobacion Inspeccion Vagones</t>
  </si>
  <si>
    <t>Ticket 320 - Wapsa - Mina - Pesaje - Diferencia pesos tara no esta evaluando correctamente cuando es mayor al factor</t>
  </si>
  <si>
    <t>Ticket 321 - Wapsa - Callao - Volteo - Diferencia pesos brutosMina-Callao no esta evaluando correctamente cuando es mayor al factor</t>
  </si>
  <si>
    <t>Ticket 323 - Wapsa - Callao - Impresión de Guías ED - Modulo impresion ED anulación error</t>
  </si>
  <si>
    <t>Ticket 323-1 - Wapsa - Callao - Reporte Asignación - Muestra el valor incorrecto de  TMH Guia T018-0001621</t>
  </si>
  <si>
    <t>Ticket 323-2 - Wapsa - Callao - Muestreo - Se registaron guias con lote CC2402 en vez de CC2401</t>
  </si>
  <si>
    <t>Ticket 326 - Wapsa - Mina - C.Stock - la lista demora aprox 8 mintos para mostrar la informacion</t>
  </si>
  <si>
    <t>Ticket 412 - Wapsa - Mina - Inspeccion - Cambiar orden de detalle de convoy para que se muestre por fecha de inspeccion</t>
  </si>
  <si>
    <t>Ticket 413 - Wapsa - Mina - Pesaje - Agregar columna en la vista y excel que se muestre el precinto de salida Callao (Precinto Cotecna)</t>
  </si>
  <si>
    <t>Ticket 414 - Wapsa - Mina - Pesaje - Despacho - Error al intentar al preasignar despacho (Bloqueo de tablas)</t>
  </si>
  <si>
    <t>Ticket 415 -  Wapsa - Callao - Inspeccion - No lista los vagones observados en estado pendiente</t>
  </si>
  <si>
    <t>Ticket 291 - Wapsa - Callao - Inspección -  Mail de inspección observada en Callao sin data (mail en blanco)</t>
  </si>
  <si>
    <t>Ticket 290 - Wapsa - Callao - Volteo - El Wapsa permitió grabar un Numero de Guía Electrónica con la letra T en minúscula en Volteo</t>
  </si>
  <si>
    <t>Ticket 406 - Wapsa - Callao - Month Evidence - Core - No calcula el total de ajuste TMS y TMH incluyendo TEE</t>
  </si>
  <si>
    <t>Ticket 407 - Wapsa - Callao - Arribo -  No se listan vagones disponibles para arribo cuya salida fue en Dic-2024</t>
  </si>
  <si>
    <t>Ticket 409 - Wapsa - Callao - Traslado entre Estab. - Lista de Despachos - Error al importar despachos</t>
  </si>
  <si>
    <t>Ticket 416 - Wapsa - Mina - Pesaje - Despacho - Error en precinto duplicado de enero 2025 sublote 440 (Enviado en 417)</t>
  </si>
  <si>
    <t>Ticket 417 -  Wapsa - Callao - Ajuste Mensual - Operaciones de Rumas no muestran operaciones de tipo Traslado</t>
  </si>
  <si>
    <t>Ticket 418 - Wapsa - Callao - C.Stock - Cambio de columna  Fecha Stock por lentitud del reporte</t>
  </si>
  <si>
    <t>Ticket 399 - Wapsa - Mina - Pesaje - Modificar frecuencia notificacion de despachos pendientes por aprobar por supervisor</t>
  </si>
  <si>
    <t>Ticket 364 - Wapsa - Callao - Lista Despacho - El filtro por IE's en estado abierto no muestra las que tiene peso = 0</t>
  </si>
  <si>
    <t>Ticket 368 - Wapsa - General - Copia de Base de datos de WAPSA y TRADER de Testing y Desarrollo</t>
  </si>
  <si>
    <t>Ticket 370 - Wapsa - Mina - Pesaje - Despachos - Texto incorrecto en el campo Tipo de Pesaje Manual Tara</t>
  </si>
  <si>
    <t>Ticket 372 - Wapsa Movil - General - Actualización de Apk en los equipos de Callao(Cotecna)</t>
  </si>
  <si>
    <t>Ticket 373 - Wapsa - Callao - Asignacion - Ruma no visualizada en el listado para Muestreo</t>
  </si>
  <si>
    <t>Ticket 332 - Wapsa - Callao - Lista Despacho - Error en plantilla correo de JOB Factor Pesos</t>
  </si>
  <si>
    <t>Ticket 334 - Wapsa - Mina - Pesaje - Error en el listado de vagones observados en Mina</t>
  </si>
  <si>
    <t>Ticket 337 - Wapsa - Callao - Lista Despacho - Alerta despachos pesos 0 no manda todas las IE's de los dos ultimos meses</t>
  </si>
  <si>
    <t>Ticket 342 - Wapsa - Callao - Ajuste Mensual - Error en datos de la IE 280/24 Ruma R24-004</t>
  </si>
  <si>
    <t>Ticket 343 - Wapsa - Callao - Lista de Despachos - Error en el listado de detalle de pesos de la IE 0052/24</t>
  </si>
  <si>
    <t>Ticket 295 - Wapsa - Mina - Pesaje - Modulo Mina Pesaje - Nuevo filtro en la vista de vagones observados</t>
  </si>
  <si>
    <t>Ticket 303- Wapsa - Callao - Lista de Despacho - Realizar mejora en el peso de las guías de Impala, dado que el peso está en kg</t>
  </si>
  <si>
    <t>Ticket 303 - Wapsa - Callao - Lista Despacho - Proyecto WAPSA 2024 - 1 - Mejoras Embarque a Granel "Extraporturario" Lista despacho</t>
  </si>
  <si>
    <t>Ticket 305 - Wapsa - Callao - Lista Despacho - Proyecto WAPSA 2024 - 1 - Mejoras Reporte TMH,TMS, HUMEDAD Lista despacho</t>
  </si>
  <si>
    <t>Ticket 313 - Wapsa - Mina - Pesaje - Proyecto WAPSA 2024 - 1 - Aprobación Supervisor por la diferencia de peso tara en mina</t>
  </si>
  <si>
    <t>Ticket 314 - Wapsa - Callao - Lista Despacho - Proyecto WAPSA 2024 - 1 - Alerta Lista Despacho</t>
  </si>
  <si>
    <t>Finish Date Chinalco</t>
  </si>
  <si>
    <t>Tipo Evento</t>
  </si>
  <si>
    <t>Tipo Estabilización</t>
  </si>
  <si>
    <t>WAPSA\Sprint - Abril - 2025</t>
  </si>
  <si>
    <t>Ticket 423 - Wapsa - Mina - Pesaje - Modulo Mina - Filtros- Quitar Preautorizados</t>
  </si>
  <si>
    <t>WAPSA\Sprint - Mayo - 2025</t>
  </si>
  <si>
    <t>Ticket 427 - WapsaES - Servicios Web Callao</t>
  </si>
  <si>
    <t>Ticket 357 - WapsaES - G. Codigo Establecimiento por cada serie - Caso Impala Wapsa ES</t>
  </si>
  <si>
    <t>Ticket 422 - Wapsa - Mina - Pesaje - Modulo Mina Pesaje Manual (tara y bruto)  supervisor por evento</t>
  </si>
  <si>
    <t>Ticket 429 - Wapsa- General - G. Codigo Establecimiento por cada serie</t>
  </si>
  <si>
    <t>Ticket 434 - Wapsa - General - Pase a Produccion v2.22 - Proyectos Parte 1</t>
  </si>
  <si>
    <t>Wasa Web</t>
  </si>
  <si>
    <t>Ticket 432- Wapsa - Mina - Despacho - Solicitar 3 adjuntos como minimo al subir evidencias de peso tara manual por evento</t>
  </si>
  <si>
    <t>WAPSA\Sprint - Junio - 2025</t>
  </si>
  <si>
    <t>Ticket 437 - Wapsa - General - Pase a Produccion v2.23 - Nuevo Tipo de GRE "Otros"</t>
  </si>
  <si>
    <t>[Ver. 2.23]</t>
  </si>
  <si>
    <t>Ticket 438 - WapsaES - General - Pase a Produccion v4.0 - Nuevo Tipo de GRE "Otros"</t>
  </si>
  <si>
    <t>[Ver 4.0]</t>
  </si>
  <si>
    <t>WAPSA\Sprint - Julio - 2025</t>
  </si>
  <si>
    <t>Ticket 432- Wapsa - Mina - Despacho - Se muestra duplicado un vagón porque tiene dos aprobaciones de dif de tara del supervisor en curso</t>
  </si>
  <si>
    <t>Ticket 435 - Wapsa - Error Asignacion Callao no permite asignar</t>
  </si>
  <si>
    <t>Ticket 436 - Implementar nuevo caso GRE "Otros"</t>
  </si>
  <si>
    <t>External API</t>
  </si>
  <si>
    <t>Ticket 439 - Wapsa - Ajuste Mensual - El Reporte excluya del historico de rumas aquellas involucradas en Mezcla y Junta simultánemente</t>
  </si>
  <si>
    <t>Ticket 440- Wapsa - Mina - UBICACIÓN DE VAGONES - Corrección Listado de Vagones</t>
  </si>
  <si>
    <t>Ticket 441- Wapsa - Mina - Stock - Revisión Lentitud Listado</t>
  </si>
  <si>
    <t>Ticket 442 - Wapsa - Stock Callao - Error en calculo de TMH en listado detalle por día</t>
  </si>
  <si>
    <t>Ticket 428 - F. Grupos de Análisis-Nuevos requerimientos (relacion Ticket 355)</t>
  </si>
  <si>
    <t>Ticket 443 - Error al listar vagones en arribo mina en el detalle</t>
  </si>
  <si>
    <t>Ticket 444- Wapsa - Mina - Pesaje - Lectura del peso utilizando api de PI Server</t>
  </si>
  <si>
    <t>Proyecto WAPSA 2025 - 2</t>
  </si>
  <si>
    <t>Ticket 445- Wapsa - General - Pase a Produccion Wapsa Ver. 2.24</t>
  </si>
  <si>
    <t>[Ver 2.24]</t>
  </si>
  <si>
    <t>Ticket 425 - Wapsa - Ruma - ENVIÓ DE DATA DE RUMA Y EJE A IMPALA</t>
  </si>
  <si>
    <t>Ticket 446 - Muestreo Callao problema Lote Callao</t>
  </si>
  <si>
    <t>WAPSA\Sprint - Agosto - 2025</t>
  </si>
  <si>
    <t>Ticket 447 - Error calculo Stock Inicial Agosto</t>
  </si>
  <si>
    <t>WAPSA\Sprint - Septiembre- 2025</t>
  </si>
  <si>
    <t>[Ver 2.25]</t>
  </si>
  <si>
    <t>Ticket 456 - Wapsa - GRE - Fallo al generar TXT en GRE Remanentes y Otros</t>
  </si>
  <si>
    <t>[Ver. 2.24.1]</t>
  </si>
  <si>
    <t>Ticket 454 - Guia Remisión Electronica nuevos casos</t>
  </si>
  <si>
    <t>Ticket 452 - Guia Remisión Electronica nuevos casos</t>
  </si>
  <si>
    <t>Ticket 451 - Wapsa - Arribo - Ejes Ruma - No se envian los QR dentro del email</t>
  </si>
  <si>
    <t>Ticket 450 - Wapsa - Ruma - Popup de Ejes de ve muy abajo</t>
  </si>
  <si>
    <t>Ticket 448 - Despachos fuera de rango e fechas-Aprobacion guia T018-026595</t>
  </si>
  <si>
    <t>[Ver 4.1]</t>
  </si>
  <si>
    <t>WAPSA\Sprint - Octubre - 2025</t>
  </si>
  <si>
    <t>Ticket 464 - Wapsa - Gestor de Guias de Remision - Filtro Otros</t>
  </si>
  <si>
    <t>Ticket 463 - WapsaBI - Habilitar las 4 columnas en el dashboard (HumedadesyLeyes)</t>
  </si>
  <si>
    <t>Ticket 462 - Wapsa - Callao - Nuevas columas Reporte de H2OyLey Callao</t>
  </si>
  <si>
    <t>Ticket 461 - Wapsa - Mina - Revision Correlativo de Sublote Pesaje</t>
  </si>
  <si>
    <t>Ticket 460 - Wapsa - Mina - Politica de reintentos/Cambio Conexion al momento de captura de peso Mina</t>
  </si>
  <si>
    <t>Ticket 459 - Wapsa - General - Pase a Produccion Wapsa ES v4.1</t>
  </si>
  <si>
    <t>Ticket 458 - Wapsa - General - Pase a Produccion Wapsa v2.25</t>
  </si>
  <si>
    <t>Ticket 457 - Wapsa - General - Pase a Produccion Emision de GRE Otros con RUC v2.24.1</t>
  </si>
  <si>
    <t>Ticket 453 - Wapsa - Envio datos WAPSA-SAP</t>
  </si>
  <si>
    <t>Ticket 449 - Wapsa -Monitor - Modificar Monitor Venta y crear Ventas por Evidence</t>
  </si>
  <si>
    <t>Ticket 424 -Wapsa -General - Ajuste final</t>
  </si>
  <si>
    <t>[Ver 2.25]; [Ver 4.1]</t>
  </si>
  <si>
    <t>Ticket 315 - Wapsa - Proyecto WAPSA 2024 - 1 - Mejoras Logs</t>
  </si>
  <si>
    <t>WAPSA\Sprint - Noviembre - 2025</t>
  </si>
  <si>
    <t>WAPSA\Sprint - Diciembre - 2025</t>
  </si>
  <si>
    <t>Ticket 356 - WapsaES - General - Servicios Web Callao</t>
  </si>
  <si>
    <t>Ticket 469 - Wapsa - Pase a producción Fix. Operaciones Stock v2.25.3</t>
  </si>
  <si>
    <t>v2.25.3</t>
  </si>
  <si>
    <t>Ticket 465 - Wapsa - Mina - Ajuste emision de guias por error anulación en sublotes 2530 al 2533 CT2511</t>
  </si>
  <si>
    <t>Ticket 466 - Wapsa - Monitor - Ajuste en sumatoria de totales de Dashboard de Despachos</t>
  </si>
  <si>
    <t>Ticket 467 - Wapsa - Habilitar las 4 columnas en el dashboard (HumedadesyLeyes)</t>
  </si>
  <si>
    <t>Ticket 468 - Wapsa - Error al cargar leyes en Callao</t>
  </si>
  <si>
    <t>Ticket 455 - SAP FASE COMPLEMENTARIA</t>
  </si>
  <si>
    <t>[Ver 2.26]</t>
  </si>
  <si>
    <t>Ticket 470 - Wapsa - General - Pase a Produccion Wapsa v2.26</t>
  </si>
  <si>
    <t>Ticket 471 - Wapsa - SAP Envio de datos</t>
  </si>
  <si>
    <t>WAPSA\Sprint - Enero - 2026</t>
  </si>
  <si>
    <t>Ticket 472 - Wapsa - General - Pase a Produccion Wapsa v2.27</t>
  </si>
  <si>
    <t>En Proceso firmas</t>
  </si>
  <si>
    <t>Ticket 473 - WapsaES - General - Pase a Produccion Wapsa v4.6</t>
  </si>
  <si>
    <t>[Ver. 2.27]; [Ver. 2.28]</t>
  </si>
  <si>
    <t>Ticket 475 - Wapsa - Reporte De H2OLey de Callao no esta filtrando por la fecha correcta</t>
  </si>
  <si>
    <t>Ticket 476 - Wapsa -Varios - Mejora Listado para elegir vagones en Arribo, Entrega y Salida</t>
  </si>
  <si>
    <t>Ticket 478 - Wapsa - Configuracion - Restringir que no se puede crear un hora cierre de lote diferente a las 06:59</t>
  </si>
  <si>
    <t>Ticket 477 - Wapasa - Callao - Cambiar fechas de lote CT2601 y CT2602</t>
  </si>
  <si>
    <t>31/8/2025 7:00:00 p. m.</t>
  </si>
  <si>
    <t>14/9/2025 7:00:00 p. m.</t>
  </si>
  <si>
    <t>28/12/2025 7:00:00 p. m.</t>
  </si>
  <si>
    <t>Ajuste final y Repeso total 1.1 Ajuste final Modificar lógica para creación de ajuste para validar lo siguiente: al realizar el ajuste la fecha y hora debe ser mayor al último movimiento (ingreso, salida, junta). Modificar la UI para mostrar el mensaje y consumir la validación Realizar pruebas 1.2 REPESO TOTAL Modificar lógica para creación de ajuste para validar lo siguiente: al realizar el ajuste la fecha y hora debe ser mayor al último movimiento (ingreso, salida, junta). Modificar la UI para mostrar el mensaje y consumir la validación Realizar pruebas 1.3 Validaciones adicionales Crear validacion para poder crear un bloqueo de pesos en tmh si se genera un "Ajuste en TMH" Crear validacion para poder crear un bloqueo de pesos en tms si se genera un "Ajuste en TMS" Modificar cada punto de creación de pesos (TMH,TMS) para consumir la validación Modifcar la UI para consumir estas validaciones Realizar pruebas</t>
  </si>
  <si>
    <t>4/9/2024 7:00:00 p. m.</t>
  </si>
  <si>
    <t>7/10/2025 1:54:00 p. m.</t>
  </si>
  <si>
    <t>Modulo Log 1.1 Listado Log Mejorar el performance del modulo de logs es demasiado lento Desarrollar funcioanlidad para guardar los datos del request cuadno se realizan ejemplo si se guardan leyes que valores estan siendo enviados al WAPSA para grabarse. Modificar scripts para soportar esta nueva columna que obtendrá los datos de datos enviados Crear nuevas tablas para manejar las llaves y adjuntos Modificar la UI para poder ver esta nueva columna Realizar pruebas</t>
  </si>
  <si>
    <t>WAPSA\Sprint - Marzo - 2026</t>
  </si>
  <si>
    <t>Descripción: 1.1 Pesos Lista Despacho Modicar codigo en el momento que se modifiquen pesos se deben eliminar las leyes y humedades existentes. Modificar UI para consumir nuevo proceso Realizar pruebas 1.2 Humedades Lista Despacho Modicar codigo en el momento que se modifiquen pesos se deben eliminar las leyes. Modificar UI para consumir nuevo proceso Realizar pruebas Solución:</t>
  </si>
  <si>
    <t>Mantenimiento de tablas 1.1 Registro de Equipos Registro de los equipos Configurar cuenta de correo 1.2 Mantenimiento de tablas Tipos de mantenimiento Tipos de averias Empresas Ubicación Registro de la programación 2.1 Registro de programación Registro de programación Registro de evidencias Envío de la notificación 2.2 Registro de mantenimiento correctivo Registro del evento Registro de las evidencias Reportes Reporte de programación Reporte de Mantenimiento Correctivo</t>
  </si>
  <si>
    <t>Crear una API 1.1 Crear proceso automatico para leer datos del GPS Creacion de scripts Desarrollo del codigo con logica 1.2 Modificar el wapsa Modificar el WAPSA para soportar una lectura del gps o manual Realizar pruebas</t>
  </si>
  <si>
    <t>9/4/2024 7:00:00 p. m.</t>
  </si>
  <si>
    <t>10/04 @Cristian Pastor Artigas Reunion con el proveedor CLS Peru en la cual se concretaron los siguientes puntos: -En la aplicacion de CLS que le permite a MIna monitorear los vagones via GPS se registrar el Nro de Guia de Remision en el campo conductor, de momento manualmente lo hara el equipo de Edwin Rios MCP. -El equipo de Edwin registrara la guias desde el Jueves 11/04 hasta el dia lunes para que luego de eso SyC Sistemas podra 15/04 consultar utilizando el API. -EL dia 15/04 SyC probara haciendo consultas utilizando el API para devolver los datos filtrando por el campo conductor-Guia de remision, -La proxima reunion sera el dia 18 o 19/04 -Se concretara una reunion con Wally a posterior para ver internamnete en Wapsa cuales seran las mejoras una vez podamos consultar la informacion correctamnete desde el API -CLS indico cual es la documentacion que se debe consultar. https://sdk.wialon.com/wiki/en/sidebar/remoteapi/apiref/report/cleanup_result @Cristian Pastor Artigas Video de la reunion en los adjuntos del Ticket 15/04 Edwin Rios inidca que ya se esta cargando los Numeros de Guias desde Mina 16/04 @Cristian Pastor Artigas Se envia consulta a la Empresa del GPS para consultar sobre como obtener los ID's para obtener lueo los reportes 23/04 @Cristian Pastor Artigas CLS responde mail enviando las credenciales de acceso 29/04 @Cristian Pastor Artigas Se envia consulta a CLS porque no se puede obtener la informacion de los puntos del GPS , se solicita reunion</t>
  </si>
  <si>
    <t>2/6/2025 7:00:00 p. m.</t>
  </si>
  <si>
    <t>4/8/2025 7:00:00 p. m.</t>
  </si>
  <si>
    <t>7/10/2025 1:53:00 p. m.</t>
  </si>
  <si>
    <t>Luis Casas solicita: En la transmision de leyes de Cotecna e importacion: - Habilitar 4 columnas de información en el reporte de H2OyLey Callao de Wapsa; grupos (G1,G2,G3,G4) para recibir la data de Cotecna - Generar el maestro: "Grupos de análisis" para seleccionar a qué grupo pertenece cada analito. - Actualizar el reporte en Excel de H2OyLey Callao incluyendo los Grupos. - Habilitar las 4 columnas en el dashboard (HumedadesyLeyes) 28/05 @Cristian Pastor Artigas Se adjunta documento resultante de la reunion</t>
  </si>
  <si>
    <t>25/7/2025 5:14:00 p. m.</t>
  </si>
  <si>
    <t>1/9/2025 6:21:00 a. m.</t>
  </si>
  <si>
    <t>Ticket de Soporte: Ticket 443 - Error al listar vagones en arribo mina en el detalle https://dev.azure.com/SycSistemas/WAPSA/_boards/board/t/WAPSA%20Team/Stories?workitem=456 Ticket 442 - Wapsa - Stock Callao - Error en calculo de TMH en listado detalle por día https://dev.azure.com/SycSistemas/WAPSA/_boards/board/t/WAPSA%20Team/Stories?workitem=450 Ticket 440- Wapsa - Mina - UBICACIÓN DE VAGONES - Corrección Listado de Vagones https://dev.azure.com/SycSistemas/WAPSA/_boards/board/t/WAPSA%20Team/Stories?workitem=445 Ticket 441- Wapsa - Mina - Stock - Revisión Lentitud Listado https://dev.azure.com/SycSistemas/WAPSA/_boards/board/t/WAPSA%20Team/Stories?workitem=446 Ticket de Proyectos: Ticket 444- Wapsa - Mina - Pesaje - Lectura del peso utilizando api de PI Server https://dev.azure.com/SycSistemas/WAPSA/_boards/board/t/WAPSA%20Team/Stories?workitem=455 Ticket 425 - Wapsa - Ruma - ENVIÓ DE DATA DE RUMA Y EJE A IMPALA https://dev.azure.com/SycSistemas/WAPSA/_boards/board/t/WAPSA%20Team/Stories?workitem=415 Ticket 429 - Wapsa- General - G. Codigo Establecimiento por cada serie https://dev.azure.com/SycSistemas/WAPSA/_boards/board/t/WAPSA%20Team/Stories?workitem=458 Para Ticket Ticket 429: Crear los codigos de establecimiento en Datos Rumas Guias de Remision Cargar 0000 en todos los clientes Impresion txt: 603 1001 Activacion Impresion por pantalla de TXT GRE PRINTX true IOAV 247 1001 Alerta de Aprobación Ejes de Ruma AAJR NULL ALER Ticket 425 Alerta de Aprobación Ejes de Ruma Destinatarios arios DER artigasc@gmail.com,melendezyessi@gmail.com,a@gmail.com DRE 0 0 1 0 NULL 2025-05-23 19:50:25.433 Chinalco dbWapsa2 2025-05-23 19:45:56.863 WAPSA 0 NULL 0 0 0 0 NULL Para ticket 444 Crear nueovo maestro Tipo Conexión Balanza Mina Datos Conexión Balanza Mina &lt;add key="HostApiPISERVER" value="http://10.251.3.51:8081/last_value" /&gt; &lt;add key="UserApiPISERVER" value="user_wapsa01" /&gt; &lt;add key="PassApiPISERVER" value="GkXpLZ&amp;amp;d66LNAGGPyeS5&amp;amp;m" /&gt; &lt;add key="tagB1" value="PL:245WIT0064_TON_DCS" /&gt; &lt;add key="tagB2" value="PL:400WIT2064_TON_DCS" /&gt; Crear ejes de descarga hasta el 30 Permisos PARA TODO:</t>
  </si>
  <si>
    <t>14/7/2024 7:00:00 p. m.</t>
  </si>
  <si>
    <t>26/8/2024 7:00:00 p. m.</t>
  </si>
  <si>
    <t>Pase a producción Wapsa V 2.17 Ticket 307 - Proyecto WAPSA 2024 - 2 - Mejoras en el cuadre en Wapsa https://dev.azure.com/SycSistemas/WAPSA/_boards/board/t/WAPSA%20Team/Stories/?workitem=186 Ticket 353 - Mina - Lista de Despachos-Se generó un registro duplicado al preasignar vagón por intervención del usuario https://dev.azure.com/SycSistemas/WAPSA/_boards/board/t/WAPSA%20Team/Stories/?workitem=246 Ticket 346 - Guias Electronicas - Proyecto Mejoras WAPSA - 2 - Nuevo Modulo "Emisión de Guias Impala 01" https://dev.azure.com/SycSistemas/WAPSA/_boards/board/t/WAPSA%20Team/Stories/?workitem=236 Ticket 364 - Callao - Lista de Despachos - El filtro por IE's en estado abierto no muestra las que tiene peso = 0 https://dev.azure.com/SycSistemas/WAPSA/_boards/board/t/WAPSA%20Team/Stories/?workitem=282 Ticket 347 - Guias Electronicas - Proyecto Mejoras WAPSA - 2 - GRE Impresión Guías - Hipervinculos https://dev.azure.com/SycSistemas/WAPSA/_boards/board/t/WAPSA%20Team/Stories/?workitem=237 15/07 @Cristian Pastor Artigas Creando documentos 16/07 @Cristian Pastor Artigas Se envia para firmas de AM 18/07 @Cristian Pastor Artigas Enviado a TICA</t>
  </si>
  <si>
    <t>9/9/2024 7:00:00 p. m.</t>
  </si>
  <si>
    <t>14/10/2024 7:00:00 p. m.</t>
  </si>
  <si>
    <t>Pase a producción Wapsa V 2.18 Ticket 302 - Guias Electronicas - Proyecto Mejoras WAPSA - 2 - Entregas Directas - Cambiar como se registra el destinatario, que no sea desde el maestro. https://dev.azure.com/SycSistemas/WAPSA/_boards/board/t/WAPSA%20Team/Stories/?workitem=178 Ticket 372 - Modulo Mina - Pesaje Manual - Mejora-Ver vagones observados https://dev.azure.com/SycSistemas/WAPSA/_boards/board/t/WAPSA%20Team/Stories/?workitem=308 Ticket 373 - Modulo Mina - Pesaje - Mejora correos supervisores https://dev.azure.com/SycSistemas/WAPSA/_boards/board/t/WAPSA%20Team/Stories/?workitem=309 Ticket 375 - Modulo Pesaje - Vagones observados - no filtra por los estados https://dev.azure.com/SycSistemas/WAPSA/_boards/board/t/WAPSA%20Team/Stories/?workitem=311 Ticket 376 - Modulo Pesaje - Registro cambio check auto/manual peso tara https://dev.azure.com/SycSistemas/WAPSA/_boards/board/t/WAPSA%20Team/Stories/?workitem=312 Ticket 383 - Callao - Volteo - Link para descargar PDF en Guias Electronicas</t>
  </si>
  <si>
    <t>3/10/2025 8:28:00 a. m.</t>
  </si>
  <si>
    <t>7/10/2025 1:48:00 p. m.</t>
  </si>
  <si>
    <t>29/10/2025 4:49:00 a. m.</t>
  </si>
  <si>
    <t>Ticket 451 - Wapsa - Arribo - Ejes Ruma - No se envian los QR dentro del email https://dev.azure.com/SycSistemas/WAPSA/_boards/board/t/WAPSA%20Team/Stories?System.IterationPath=%40currentIteration&amp;workitem=480 Ticket 450 - Wapsa - Ruma - Popup de Ejes de ve muy abajo https://dev.azure.com/SycSistemas/WAPSA/_boards/board/t/WAPSA%20Team/Stories?System.IterationPath=%40currentIteration&amp;workitem=474 Ticket 449 - Wapsa -Monitor - Modificar Monitor Venta y crear Ventas por Evidence https://dev.azure.com/SycSistemas/WAPSA/_boards/board/t/WAPSA%20Team/Stories?System.IterationPath=%40currentIteration&amp;workitem=474 Ticket 428 - F. Grupos de Análisis-Nuevos requerimientos (relacion Ticket 355) https://dev.azure.com/SycSistemas/WAPSA/_boards/board/t/WAPSA%20Team/Stories?System.IterationPath=%40currentIteration&amp;workitem=418 Ticket 424 -Wapsa -General - Ajuste final https://dev.azure.com/SycSistemas/WAPSA/_boards/board/t/WAPSA%20Team/Stories?System.IterationPath=%40currentIteration&amp;workitem=414 Ticket 315 - Wapsa - Proyecto WAPSA 2024 - 1 - Mejoras Logs https://dev.azure.com/SycSistemas/WAPSA/_boards/board/t/WAPSA%20Team/Stories?workitem=194 Ticket 453 - Envio datos WAPSA-SAP https://dev.azure.com/SycSistemas/WAPSA/_boards/board/t/WAPSA%20Team/Stories?workitem=485</t>
  </si>
  <si>
    <t>7/10/2025 1:56:00 p. m.</t>
  </si>
  <si>
    <t>Ticket 403 - Wapsa ES - GRE's - Validar que existan datos de balanzas en Wapsa cuando se crea la GRE https://dev.azure.com/SycSistemas/WAPSA/_boards/board/t/WAPSA%20Team/Stories?System.IterationPath=%40currentIteration&amp;workitem=378 Ticket 357 - WapsaES - G. Codigo Establecimiento por cada serie - Caso Impala Wapsa ES https://dev.azure.com/SycSistemas/WAPSA/_boards/board/t/WAPSA%20Team/Stories?System.IterationPath=%40currentIteration&amp;workitem=431 Ticket 385 - Wapsa ES - General - Proyecto 2024 - Crear API para recibir/ver informacion de Grupo Ensayos (Relacion con Ticket 355) https://dev.azure.com/SycSistemas/WAPSA/_boards/board/t/WAPSA%20Team/Stories?System.IterationPath=%40currentIteration&amp;workitem=345 Ticket 453 - Wapsa - Envio datos WAPSA-SAP https://dev.azure.com/SycSistemas/WAPSA/_boards/board/t/WAPSA%20Team/Stories?workitem=485</t>
  </si>
  <si>
    <t>2/5/2024 7:00:00 p. m.</t>
  </si>
  <si>
    <t>19/5/2024 7:00:00 p. m.</t>
  </si>
  <si>
    <t>14/5/2024 7:00:00 p. m.</t>
  </si>
  <si>
    <t>Pase a producción Wapsa V 2.16 Ticket 330 https://dev.azure.com/SycSistemas/WAPSA/_boards/board/t/WAPSA%20Team/Stories/?workitem=218 Ticket 340 https://dev.azure.com/SycSistemas/WAPSA/_workitems/edit/230 Ticket 339 https://dev.azure.com/SycSistemas/WAPSA/_workitems/edit/229 Ticket 331 https://dev.azure.com/SycSistemas/WAPSA/_workitems/edit/219 Ticket 338 https://dev.azure.com/SycSistemas/WAPSA/_workitems/edit/228 03/05 @Cristian Pastor Artigas se crea y se envía documentación para firmas de AM 03/05 @Cristian Pastor Artigas se envia pase a producción 10/05 @Cristian Pastor Artigas Se sube archivo de Manual de Usuario Actualizado 15/05 @Cristian Pastor Artigas Se suben sustentos Casos de prueba, y Alexander envia scripts a DBA para su ejecucion del pase final, a la espera de definir dia</t>
  </si>
  <si>
    <t>28/5/2024 7:00:00 p. m.</t>
  </si>
  <si>
    <t>26/5/2024 7:00:00 p. m.</t>
  </si>
  <si>
    <t>Pase a producción Wapsa V 2.16.1 Ticket 350 https://dev.azure.com/SycSistemas/WAPSA/_boards/board/t/WAPSA%20Team/Stories/?workitem=243 Ticket 352 https://dev.azure.com/SycSistemas/WAPSA/_boards/board/t/WAPSA%20Team/Stories/?workitem=244 22/05 @Cristian Pastor Artigas se crea y se envía documentación para firmas de AM 23/05 @Cristian Pastor Artigas Enviado a TICA 27/05 @Cristian Pastor Artigas WM adjunta evidencias de pruebas. Se esta a la espera de definir por parte de TICA el dia y hora de hacer los cambios en producción 29/05 @Cristian Pastor Artigas Cerrado</t>
  </si>
  <si>
    <t>13/3/2024 7:00:00 p. m.</t>
  </si>
  <si>
    <t>21/3/2024 7:00:00 p. m.</t>
  </si>
  <si>
    <t>Pase a produccion Version 2.15 Ticket 303 - Proyecto WAPSA 2024 - 1 - Mejoras Embarque a Granel "Extraporturario" Lista despacho. Ticket 305 - Proyecto WAPSA 2024 - 1 - Mejoras Reporte TMH, TMS, HUMEDAD Lista despacho.  Ticket 326 - El registro de Pesaje de Mina Muestra ventana de diferencias de peso tara al momento de preasignar. Ticket 313 - Proyecto WAPSA 2024 - 1 - Aprobación Supervisor por la diferencia de peso tara en mina. Ticket 327 - Corrección error al hacer la aprobación de Pesaje Manual Módulo. Ticket 314 - Proyecto WAPSA 2024 - 1 - Alerta Lista Despacho. 14/03 Se envian documentos para firma de AM @Cristian Pastor Artigas 18/03 AM responde documentos firmados 18/03 Se envia Ticket a TICA para iniciar pase @Cristian Pastor Artigas 20/03 TICA pasa a testing 20/03 Wally revisa y envia correcciones sobre los tickets #192 y #182 20/03 TICA asigna ticket MCP #102342</t>
  </si>
  <si>
    <t>Ticket  481 - Wapsa - Pase a Produccion Wapsa v2.28 y WapsaES Ver.4.7</t>
  </si>
  <si>
    <t>20/2/2026 10:19:00 a. m.</t>
  </si>
  <si>
    <t>Ticket 471 - Wapsa - SAP Envio de datos https://dev.azure.com/SycSistemas/WAPSA/_boards/board/t/WAPSA%20Team/Stories?workitem=507</t>
  </si>
  <si>
    <t>16/2/2025 7:00:00 p. m.</t>
  </si>
  <si>
    <t>27/2/2025 7:00:00 p. m.</t>
  </si>
  <si>
    <t>12/3/2025 7:00:00 p. m.</t>
  </si>
  <si>
    <t>Pase a producción Wapsa V 2.21: Ticket 415 - Wapsa - Callao - Inspeccion - No lista los vagones observados en estado pendiente https://dev.azure.com/SycSistemas/WAPSA/_boards/board/t/WAPSA%20Team/Stories/?workitem=398 Ticket 404- Wapsa - Mina- Despacho - Correo de Dif Peso Tara del Supervisor debe indicar la palabra Supervisor en el asunto https://dev.azure.com/SycSistemas/WAPSA/_boards/board/t/WAPSA%20Team/Stories/?workitem=380 Ticket 414 - Wapsa - Mina - Despacho - Error al intentar al preasignar despacho (Bloqueo de tablas) https://dev.azure.com/SycSistemas/WAPSA/_boards/board/t/WAPSA%20Team/Stories/?workitem=397 Ticket 412 - Wapsa - Mina - Cambiar orden de detalle de convoy para que se muestre por fecha de inspeccion https://dev.azure.com/SycSistemas/WAPSA/_boards/board/t/WAPSA%20Team/Stories/?workitem=391 Ticket 413 - Wapsa - Mina - Agregar columna en la vista y excel que se muestre el precinto de salida Callao (Precinto Cotecna) https://dev.azure.com/SycSistemas/WAPSA/_boards/board/t/WAPSA%20Team/Stories/?workitem=392</t>
  </si>
  <si>
    <t>24/4/2025 7:00:00 p. m.</t>
  </si>
  <si>
    <t>27/4/2025 7:00:00 p. m.</t>
  </si>
  <si>
    <t>Pase a producción Wapsa V 2.22: Ticket 432- Wapsa - Mina - Despacho - Solicitar 3 adjuntos como minimo al subir evidencias de peso tara manual por evento https://dev.azure.com/SycSistemas/WAPSA/_boards/board/t/WAPSA%20Team/Stories?workitem=432 Ticket 423 - Wapsa - Mina - Pesaje - Modulo Mina - Filtros- Quitar Preautorizados https://dev.azure.com/SycSistemas/WAPSA/_boards/board/t/WAPSA%20Team/Stories?workitem=413 Ticket 422 - Wapsa - Mina - Pesaje - Modulo Mina Pesaje Manual (tara y bruto) supervisor por evento https://dev.azure.com/SycSistemas/WAPSA/_boards/board/t/WAPSA%20Team/Stories?workitem=180</t>
  </si>
  <si>
    <t>11/6/2025 8:44:00 a. m.</t>
  </si>
  <si>
    <t>24/6/2025 10:18:00 a. m.</t>
  </si>
  <si>
    <t>Pase a producción Wapsa V 2.23: Ticket 436 - Implementar nuevo caso GRE "Otros" https://dev.azure.com/SycSistemas/WAPSA/_workitems/edit/440</t>
  </si>
  <si>
    <t>19/6/2025 7:00:00 p. m.</t>
  </si>
  <si>
    <t>5/2/2024 7:00:00 p. m.</t>
  </si>
  <si>
    <t>3/3/2024 7:00:00 p. m.</t>
  </si>
  <si>
    <t>4/3/2024 7:00:00 p. m.</t>
  </si>
  <si>
    <t>Pase a produción Wapsa UE y Wapsa Ticket 319 - Modulo Mina - Mover opciones de aprobación por guía a la pestaña de observados Ticket 295 - Modulo Mina Pesaje - Nuevo filtro en la vista de vagones observados Ticket 293 - Modulo mina - los adjuntos para Diferencia de peso tara se estan guardando mal Ticket 294 - Modulo Mina - Vista de Vagones observados no filtra ni exporta correctamente Ticket 316 - Modulo Mina - No deja adjuntar las evidencias para duplicidad de precintos Ticket 301 - Modulo Callao - DIFERENCIA DE PESOS BRUTOS CALLAO Ticket 296 - Modulo Callao Lista Despacho - Corregir "ITEM" cuando das click en ver "Detalle" por una IE 5/02: Recibidos documentos firmado por Alejandro 6/02: Documentos y mail enviados a TICA 9/02: Disponible en Testing para las pruebas 12/02: Pruebas con Wally: -Volteo: Solo se tomará en cuenta para obervar el vagon si es que los pesos brutos si es que la diferencia de pesos de Callao y Mina es inferior al factor. -Inspeccion callao: Correccion de error al agregar sustento al editar el vagon . PR 169: Cambio de Factor y correccion adjuntar editar vagon inspeccion 13/02 Revision con WM se aprueban todas las correciones del CP Se solicita corregir un texto en la evidencias del pesaje de mina 14/02 Correccion texto en la evidencias del pesaje de mina PR 170: Correcciones para texto en adjuntos y corregir error de adjuntado en diferencia de pesos mina 16/02 Se envian a Wally las evidencias del pase. Quedamos a la espera de una ultima prueba al pesaje por parte de Wally para cerrar el pase 19/02 Se solicita a Julio que envie el link para que Wally suba las evidencias. Se queda la espera de fecha del pase 23//02 Alexander asigna el pase a Produccion a Saul para que inidque el dia y hora. 26/02 El pase es reasignado a Julio, en un mail indica que esta por firmas de documentos. 27/02 @Cristian Pastor Artigas Se solicita actualizacion de estado del pase 01/03 Julio realiza pase pero solo de Wapsa falta WapsaEU @Cristian Pastor Artigas</t>
  </si>
  <si>
    <t>15/2/2024 7:00:00 p. m.</t>
  </si>
  <si>
    <t>20/2/2024 7:00:00 p. m.</t>
  </si>
  <si>
    <t>21/2/2024 7:00:00 p. m.</t>
  </si>
  <si>
    <t>Pase a Produccion Wapsa Servicio Ver. 2.4 15/02: Se moven cambio para preparar version PR 171: Correccion servicio ver 2.4 16/02: @Cristian Pastor Artigas Se envian formatos a firma de AM 20/02 Aprobo Alexander el pase 22/02 TICA realizo el pase a Produccion son documentacion de casos de pruebas @Cristian Pastor Artigas</t>
  </si>
  <si>
    <t>31/12/2025 3:41:00 p. m.</t>
  </si>
  <si>
    <t>23/1/2026 3:41:00 p. m.</t>
  </si>
  <si>
    <t>30/12/2025 7:00:00 p. m.</t>
  </si>
  <si>
    <t>23/1/2026 3:44:00 p. m.</t>
  </si>
  <si>
    <t>27/11/2025 7:00:00 p. m.</t>
  </si>
  <si>
    <t>1/12/2025 2:11:00 p. m.</t>
  </si>
  <si>
    <t>1/12/2025 10:18:00 a. m.</t>
  </si>
  <si>
    <t>30/11/2025 7:00:00 p. m.</t>
  </si>
  <si>
    <t>4/12/2025 7:00:00 p. m.</t>
  </si>
  <si>
    <t>Ticket 460 - Wapsa - Mina - Politica de reintentos/Cambio Conexion al momento de captura de peso Mina https://dev.azure.com/SycSistemas/WAPSA/_workitems/edit/492 Ticket 467 - Wapsa - Habilitar las 4 columnas en el dashboard (HumedadesyLeyes) X https://dev.azure.com/SycSistemas/WAPSA/_boards/board/t/WAPSA%20Team/Stories?workitem=506 Ticket 466 - Wapsa - Monitor - Ajuste en sumatoria de totales de Dashboard de Despachos X https://dev.azure.com/SycSistemas/WAPSA/_boards/board/t/WAPSA%20Team/Stories?workitem=502 Ticket 462 - Wapsa - Callao - Nuevas columas Reporte de H2OyLey Callao https://dev.azure.com/SycSistemas/WAPSA/_boards/board/t/WAPSA%20Team/Stories?workitem=497 Ticket 461 - Wapsa - Mina - Revision Correlativo de Sublote Pesaje https://dev.azure.com/SycSistemas/WAPSA/_boards/board/t/WAPSA%20Team/Stories?workitem=499 Ticket 464 - Wapsa - Gestor de Guias de Remision - Filtro Otros https://dev.azure.com/SycSistemas/WAPSA/_boards/board/t/WAPSA%20Team/Stories?workitem=500</t>
  </si>
  <si>
    <t>2/12/2024 7:00:00 p. m.</t>
  </si>
  <si>
    <t>29/12/2024 7:00:00 p. m.</t>
  </si>
  <si>
    <t>Pase a producción Wapsa V 2.19: Ticket 393 - Wapsa - Mina - Wapsa no debe permitir registrar pesos al momento de preasignar y mejorar columnas del listado https://dev.azure.com/SycSistemas/WAPSA/_boards/board/t/WAPSA%20Team/Stories/?workitem=355 PR 216: Ticket 393 - Wapsa - Mina - Wapsa no debe permitir registrar pesos al momento de preasignar y mejorar columnas del listado Ticket 387 - Wapsa - Callao- Asignacion- La reasignación no se genera correctamente y no se muestra en los reportes de stock https://dev.azure.com/SycSistemas/WAPSA/_boards/board/t/WAPSA%20Team/Stories/?workitem=347 PR 217: Ticket 387 - Wapsa - Callao- Asignacion- La reasignación no se genera correctamente y no se muestra en los reportes de stock Ticket 396 - Wapsa - Mina - Agregar Vagones sin destare por pesaje manual Lote CT 2410 https://dev.azure.com/SycSistemas/WAPSA/_boards/board/t/WAPSA%20Team/Stories/?workitem=361 Ticket 394 Wapsa - Callao - Operaciones - Ventana de error al listar de la pestaña operaciones https://dev.azure.com/SycSistemas/WAPSA/_boards/board/t/WAPSA%20Team/Stories/?workitem=359 PR 218: Ticket 394 Wapsa - Callao - Operaciones - Ventana de error al listar de la pestaña operaciones Ticket 398 - Wapsa - Mina - Mejorar ventanas de bloqueo/cargando al registrar o actualizar un pesaje https://dev.azure.com/SycSistemas/WAPSA/_boards/board/t/WAPSA%20Team/Stories/?workitem=367 PR 220: Ticket 398 - Wapsa - Mina - Mejorar ventanas de bloqueo/cargando al registrar o actualizar un pesaje Ticket 395 - Wapsa - Mina- Despacho - Error al intentar asignar peso tara a un despacho (Bloqueo de tablas) https://dev.azure.com/SycSistemas/WAPSA/_boards/board/t/WAPSA%20Team/Stories/?workitem=360 PR 219: Ticket 395 - Wapsa - Mina- Despacho - Error al intentar asignar peso tara a un despacho (Bloqueo de tablas) Ticket Incluido fuera de los formatos: Ticket 405 - Wapsa - Callao - Ajuste Mensual - No totaliza correctamente el TMS https://dev.azure.com/SycSistemas/WAPSA/_boards/board/t/WAPSA%20Team/Stories/?workitem=381 PR 222: Correccion para totalizar TMS ajuste mensual !</t>
  </si>
  <si>
    <t>8/1/2025 7:00:00 p. m.</t>
  </si>
  <si>
    <t>Pase a producción Wapsa V 2.20: Ticket 409 - Callao - Traslado entre Estab.-Lista de Despachos - Error al importar despachos https://dev.azure.com/SycSistemas/WAPSA/_boards/board/t/WAPSA%20Team/Stories/?workitem=386 PR 223: Cambios bug fix TEE importar humedades</t>
  </si>
  <si>
    <t>17/7/2024 7:00:00 p. m.</t>
  </si>
  <si>
    <t>7/8/2024 7:00:00 p. m.</t>
  </si>
  <si>
    <t>Pase a producción Servicio Movil Wapsa v1.1 Ticket 346 - Proyecto WAPSA 2024 - 2 - Mejoras en el Inspeccion WAPSA movil https://dev.azure.com/SycSistemas/WAPSA/_boards/board/t/WAPSA%20Team/Stories/?workitem=238 Ticket 308 - Proyecto WAPSA 2024 - 2 - Mejoras en el cuadre en Wapsa Movil https://dev.azure.com/SycSistemas/WAPSA/_boards/board/t/WAPSA%20Team/Stories/?workitem=187 18/07 @Cristian Pastor Artigas Se envia para firma de AM</t>
  </si>
  <si>
    <t>15/9/2024 7:00:00 p. m.</t>
  </si>
  <si>
    <t>Luis casas reporta: 1. Falta informacion de Pesos de mina en Reporte de Mina 05/09 @Cristian Pastor Artigas Para firmas</t>
  </si>
  <si>
    <t>15/5/2024 7:00:00 p. m.</t>
  </si>
  <si>
    <t>27/5/2024 7:00:00 p. m.</t>
  </si>
  <si>
    <t>Luis Casas inidca que la data del reporte se duplica por lote 15/05 @Cristian Pastor Artigas Se corrige script en BD BI y se prerara script para ejecucion manuald e Wapsa 16/05 @Cristian Pastor Artigas Se prepara formato de Ticket y se envia a AM 16/05 @Cristian Pastor Artigas Enviado a TICA 29/05 @Cristian Pastor Artigas Ejecutado y Cerrado</t>
  </si>
  <si>
    <t>23/1/2024 7:00:00 p. m.</t>
  </si>
  <si>
    <t>26/2/2024 7:00:00 p. m.</t>
  </si>
  <si>
    <t>Descripción: Reproceso del dashboard del 01 al 07 enero Sin permisos a la base de datos 30/01 Se tuvo problemas con el usuario 07/02 Se revisa y e total de Guias de enero coinciden con los de Wapsa Se programa reunion con Luis Casas para revisar su BI 08/02 Luego de la reunion se detecta que es un error de rango de fechas en la busqueda de datos en el Wapsa; se corrige y se deja ejecutando para el lote 2301 a la espera de la validacion de LC 16/02 Se tiene script pero el usaurio esta bloqueado para hacer las pruebas 27/02 Se envia script en base de BI y se validara en la siguiente ejecucion automatica.</t>
  </si>
  <si>
    <t>8/2/2024 7:00:00 p. m.</t>
  </si>
  <si>
    <t>18/3/2024 7:00:00 p. m.</t>
  </si>
  <si>
    <t>Ticket 322 - Wapsa BI - Reproceso de tabla de Humedades, pesos y leyes. Script de actualizacion de copia de datos para ejecucion a demanda de humedades, pesos y leyes 20/02 Este ticket depende del 298 se debe enviar el mismo script a Pord de Wapsa 27/02 Se preparan formatos para la firma y enviar ticket 29/02 Enviado a TICA @Cristian Pastor Artigas 01/03 Alexander envia Ticket a Mesa de Servicios @Cristian Pastor Artigas 04/03 Se consulta por el estado del Ticker no se obtiene respuesta @Cristian Pastor Artigas 11/03 Se consulta por el estado del Ticker no se obtiene respuesta @Cristian Pastor Artigas</t>
  </si>
  <si>
    <t>1/4/2024 7:00:00 p. m.</t>
  </si>
  <si>
    <t>19/03 Se envia para firma de Alejandro</t>
  </si>
  <si>
    <t>14/4/2024 7:00:00 p. m.</t>
  </si>
  <si>
    <t>3/5/2024 7:00:00 p. m.</t>
  </si>
  <si>
    <t>El error no se puede replicar en ningun ambiente. 10/04 @Cristian Pastor Artigas Por ende se solicita reunion a Alexander con el DBA 19/04 @Cristian Pastor Artigas Luego de la revision con el DBA se detecta que el script de mover datos de Wapsa a BI esta correcto, se concluye que la falta de data es un problema de logica del script 19/04 @Cristian Pastor Artigas Se soluciona error cambiando el filtro del script para utilizar a la fecha de proceso de MIna y no de Volteo 19/04 @Cristian Pastor Artigas Se preparara formato para enviar ticket 23/04 @Cristian Pastor Artigas Se envia formato para firma de Alejandro 24/04 @Cristian Pastor Artigas Se envio a TICA 01/05 @Cristian Pastor Artigas Alexander envia para formas internas 04/05 @Cristian Pastor Artigas Ticket Ejecutado</t>
  </si>
  <si>
    <t>11/9/2025 7:17:00 a. m.</t>
  </si>
  <si>
    <t>Descripción:</t>
  </si>
  <si>
    <t>30/9/2025 7:00:00 p. m.</t>
  </si>
  <si>
    <t>7/10/2025 10:50:00 a. m.</t>
  </si>
  <si>
    <t>7/10/2025 1:55:00 p. m.</t>
  </si>
  <si>
    <t>Descripción: Modulo Mina: Modulo Callao : Modulo Ejecución Manual Envió a SAP:</t>
  </si>
  <si>
    <t>1/10/2025 7:00:00 p. m.</t>
  </si>
  <si>
    <t>17/12/2025 7:00:00 p. m.</t>
  </si>
  <si>
    <t>16/7/2025 5:26:00 p. m.</t>
  </si>
  <si>
    <t>Detalles de la API: Endpoint: http://10.251.3.51:8081/last_value Método: POST Body : { "tag": "PL:245WIT0064_TON_DCS" } Credenciales (Basic Auth): Usuario: user_wapsa01 Contraseña: GkXpLZ&amp;d66LNAGGPyeS5&amp;m Servidor: 10.251.3.51 Puerto: 8081</t>
  </si>
  <si>
    <t>5/5/2024 7:00:00 p. m.</t>
  </si>
  <si>
    <t>12/5/2024 7:00:00 p. m.</t>
  </si>
  <si>
    <t>9/5/2024 7:00:00 p. m.</t>
  </si>
  <si>
    <t>1.1 Callao-Cuadre scripts Modificación de scripts 1.2 Callao-Cuadre interfaz Modificar interfaz para colocar la columna(Ruma) nuevas en la grilla Modificar "input select" para filtrar solo vagones en arribo y agregar al vagon la ruma Pruebas Logs Modificar script del log para mostrar los estados correctamente y describir los datos de los errores Pruebas en el modulo 06/05 @Cristian Pastor Artigas Se realizan los cambios 10/05 @Cristian Pastor Artigas Se realizan cambios en la App movil para igualar con el Wapsa Web</t>
  </si>
  <si>
    <t>3/7/2024 7:00:00 p. m.</t>
  </si>
  <si>
    <t>3/9/2024 7:00:00 p. m.</t>
  </si>
  <si>
    <t>Descripción: Solución: 20/05 @Cristian Pastor Artigas Se realiza creacion de modulo agregando las vistas y controlador, de momento muestra la misma informacion del que modulo de ED 28/05 @Cristian Pastor Artigas Se finaliza desarrollo y se enviará a testing para revision con Michael 29/05 @Cristian Pastor Artigas Se envia a testing para pruebas. A la espera que TICA actualice el ambien para verlo con MC. 11/06 @Cristian Pastor Artigas Se cambia a estado en desarrollo. Se revisa con Wally y se solicita cambiar: Origen por: ALMACÉN DE MCP (MARIÁTEGUI) Destino: IMPALA 01 Guías de Venta por solo Guía Se debe enviar formato de PDF de GUIA MCP (Antiguo) para que MC proponga los cambios al formato. Se debe enviar formato el TXT de la GRE para que MC lo valide con NeoGrid y envie sus comentarios. 11/06 @Cristian Pastor Artigas Se realizan los cambios. PR 189: Principal PR Modulo de Impresion de Guias Impala 01 Ticket 346 y Parte 1 Ticket 356 Se envian formatos para validacion de MC Se deja Ticket en Desarollo hasta obtener respuesta de MC 09/07 @Cristian Pastor Artigas Se envia a testing cambis en TXT y PDF y para validacion final a MC.</t>
  </si>
  <si>
    <t>2/6/2024 7:00:00 p. m.</t>
  </si>
  <si>
    <t>17/9/2024 7:00:00 p. m.</t>
  </si>
  <si>
    <t>los Descripción: o Para entregas directas: Cambiar como se registra el destinatario, que no sea desde el maetro. (mejora posterior) Solución: 03/06 @Cristian Pastor Artigas -Creado Lote automatico 28/06 @Cristian Pastor Artigas Punto 1,2,3,4 Terminado 02/07 @Cristian Pastor Artigas En proceso Punto 5, Se revisó requerimiento con Michael. esta al 100% 24/07 @Cristian Pastor Artigas Se implementa cambio en el servicio externo para que grabe correctamente el tipo de Venta de las GRE emitidas por Impala</t>
  </si>
  <si>
    <t>31/3/2024 7:00:00 p. m.</t>
  </si>
  <si>
    <t>6/4/2024 7:00:00 p. m.</t>
  </si>
  <si>
    <t>6/5/2024 7:00:00 p. m.</t>
  </si>
  <si>
    <t>Descripción: Se requiere que el WAPSA en la lista despacho se tenga un nuevo filtro para saber si estan observador por el nuevo factor para los casos de "Embarque a Granel" y adicional se requeire cambio de los titulos. Diferencia Balanzas (Almacén 2 - Almacen) Si / No Diferencia Balanzas (Puerto - Almacen) Si / No Ahora: Extraportuario Nuevo: Extraportuario / Balanza 2 Ahora: Almacen Nuevo: Almacen / Balanza 1 Solicitado por Wally Moscoso 20/03 Solución: @Cristian Pastor Artigas Se crea nuevas columnas en el listado y excel con la logica para mostrar el valor de Si/No, pendiente el filtro @Cristian Pastor Artigas Se crea filtro 02/04 @Cristian Pastor Artigas Se envia a 06/04 Wally para revision inidca lo siguiente: -Ajustar nombre de columnas -Agregar una configuracion para indicar el codigo del la IE a partir de la cual debe iniciar a funcionar el filtro de diferencias @Cristian Pastor Artigas Se crea configuracion para que el usuario pueda indicar la IE, se ajustan nombres de campos</t>
  </si>
  <si>
    <t>Actualizar documentacion de Wapsa (Manual de Usuario) @Cristian Pastor Artigas Se actualiza el manual y se adjunta en el ticket https://dev.azure.com/SycSistemas/WAPSA/_boards/board/t/WAPSA%20Team/Stories/?workitem=235</t>
  </si>
  <si>
    <t>Por solicitud de TICA(Alexander) en reunion del 07/05 se solicita actualizar el Manual de Usuario de Wapsa 07/05 @Cristian Pastor Artigas Se actualiza manual y se sube al servidor de SyC</t>
  </si>
  <si>
    <t>3/6/2024 7:00:00 p. m.</t>
  </si>
  <si>
    <t>Descripción: Solución: 05/06 @Cristian Pastor Artigas Se modifica servicio primeros cambios Volteo Callao. 10/06 @Cristian Pastor Artigas Se crean lo cambios para que marque con diferencias cuando el peso de Callao excede el de Mina segun factor. 14/06 @Cristian Pastor Artigas Se revisa y se hacen los cambios para el servicio de recepcion de pesos para: Contenerdor Directo, Extraportuario, Traslado Entre establacimientos y Granel Resta revisar Humedades 19/06 @Cristian Pastor Artigas Esta creado un servicio para los pesos pero puede cambiarse a que se reciban por la GRE, falta definir si Impala enviara la IE por el servicio de GRE. Reunion 20/06 20/06 @Cristian Pastor Artigas En reunion: Se envia informacion a impala sobre los servicios y a lo interno van a definir los tiempos que tomaría el desarrollo. Impala queda en enviarnos el TAG dentro del cual no esta enviando la IE d eImpala al momento de crear la GRE. A la espera de la informacion de Impala para hacer los cambio en servicio de la GRE para grabar los pesos.</t>
  </si>
  <si>
    <t>8/5/2024 7:00:00 p. m.</t>
  </si>
  <si>
    <t>2.1 Callao-Cuadre interfaz Modificar aplicación para agregar el cambio Modificar "input select" para filtrar solo vagones en arribo y agregar al vagon la ruma Realizar pruebas @Cristian Pastor Artigas Se implementan los cambios</t>
  </si>
  <si>
    <t>9/7/2024 7:00:00 p. m.</t>
  </si>
  <si>
    <t>16/7/2024 7:00:00 p. m.</t>
  </si>
  <si>
    <t>Descripción: Solución:</t>
  </si>
  <si>
    <t>La inspeccion en la app movil no funciona solo permite registrar inspecciones sin fotos. 10/05 @Cristian Pastor Artigas Se corrige: -Registro de Convoy -Listar vagones para inspeccion' -Registro de Vagones con sustentos -Se iguala el flujo de registro de vagones observados para que genere la aprobacion con la foto que se toma con la camara, con el flujo del Wapsa Web -Listado de Vagones por convoy !</t>
  </si>
  <si>
    <t>1/9/2025 7:00:00 p. m.</t>
  </si>
  <si>
    <t>5/8/2025 7:00:00 p. m.</t>
  </si>
  <si>
    <t>Adcionales parte 1: 1. Hay que considerar qué en el campo de cada G, el laboratorio enviará un solo valor, los analitos de cada grupo deben configurarse aparte, en la vista de Wapsa solo debe ir el valor enviado por Cotecna. 2. Añadir las siguientes columnas: a. Entre el Campo # y Lote Añadir una columna de la Ruma. b. En el reporte de Excel, adicional a la ruma, añadir al final de los campos actuales: Calidad, Almacén , TMH Mina, H2O Mina, TMS Mina, As Mina, F Mina, Zn Mina 3. En el reporte de “Diferencia de Leyes” se deberá calcular la diferencia entre agrupaciones (G y Lote Callao) de acuerdo con las fórmulas del Excel adjunto. 4. En la Lista de asignaciones añadir un filtro de los valores del campo “Estado” 5. En el “Reporte de asignación” detallado (dentro de cada ruma): para el reporte en Excel y en la vista de Wapsa ordenar las columnas de analitos como sigue: Callao: Ag, As, Cu, Zn, MgO, F, Bi, Pb, Sb Mina: Ag, As, Cu, Zn, MgO, F, Fe, Mo 6. En el “Reporte de rumas” para el reporte en Excel y en la vista de Wapsa ordenar las columnas de analitos como sigue: Ag, As, Cu, Zn, MgO, F Adicionales parte 2: 3. En el reporte de “Diferencia de Leyes” se deberá calcular la diferencia entre agrupaciones (G y Lote Callao) de acuerdo con las fórmulas del Excel adjunto.</t>
  </si>
  <si>
    <t>23/3/2025 7:00:00 p. m.</t>
  </si>
  <si>
    <t>15/6/2025 7:00:00 p. m.</t>
  </si>
  <si>
    <t>7/10/2025 2:33:00 p. m.</t>
  </si>
  <si>
    <t>8/3/2025 7:00:00 p. m.</t>
  </si>
  <si>
    <t>9/3/2025 7:00:00 p. m.</t>
  </si>
  <si>
    <t>@Cristian Pastor Artigas En pruebas finales</t>
  </si>
  <si>
    <t>31/12/2025 7:00:00 p. m.</t>
  </si>
  <si>
    <t>30/1/2026 7:00:00 p. m.</t>
  </si>
  <si>
    <t>Esto ya esta resuelto revisado 16/03 los logs del WAPSA ahora se ven los datos enviados en de leyes mina y callao</t>
  </si>
  <si>
    <t>26/11/2025 2:51:00 a. m.</t>
  </si>
  <si>
    <t>5/12/2025 2:51:00 a. m.</t>
  </si>
  <si>
    <t>//Cambios 26/01 Creación de Proyecto para procesar archivos CSV Descripción General Desarrollo de un proyecto .NET 4.7.2 para procesar automáticamente archivos CSV provenientes de FTP, con el objetivo de registrar información de Pesos y Humedades en las tablas de WAPSA para los módulos de Recepción (Volteo) y Despacho (Lista Despacho). &amp;#128203; Tareas 1. Configuración Inicial del Proyecto Objetivo: Establecer la base del proyecto con las dependencias necesarias. Crear nuevo proyecto .NET Framework 4.7.2 Configurar dependencias nativas para conexiones a base de datos (sin librerías externas o customizadas) Establecer estructura de proyecto limpia y organizada Configurar gestión de configuraciones (connection strings, rutas FTP, etc.) 2. Desarrollo - Módulo Recepción (Volteo) Objetivo: Implementar la lógica para procesar datos de Pesos y Humedades del módulo de Recepción. 2.1 Componente de Lectura FTP Implementar servicio para conectarse al servidor FTP Desarrollar lógica para detectar y descargar archivos CSV nuevos Implementar parseo y validación de estructura CSV 2.2 Procesamiento de Pesos - Recepción Extraer campos correspondientes del CSV según especificaciones Mapear datos a las tablas de WAPSA establecidas Implementar lógica de grabación en base de datos Manejo de errores y logs de procesamiento 2.3 Procesamiento de Humedades - Recepción Extraer campos correspondientes del CSV según especificaciones Mapear datos a las tablas de WAPSA establecidas Implementar lógica de grabación en base de datos Manejo de errores y logs de procesamiento 2.4 Pruebas - Módulo Recepción Realizar pruebas unitarias de componentes Validar integridad de datos grabados Probar escenarios de error y manejo de excepciones 3. Desarrollo - Módulo Despacho (Lista Despacho) Objetivo: Implementar la lógica para procesar datos de Pesos y Humedades del módulo de Despacho. 3.1 Procesamiento de Pesos - Despacho por Tipo de Contenedor Contenedor Extraportuario y Directo: Extraer campos específicos del CSV Procesar y grabar en tablas WAPSA correspondientes Contenedor Granel: Extraer campos específicos del CSV Procesar y grabar en tablas WAPSA correspondientes Contenedor Traslados Externos: Extraer campos específicos del CSV Procesar y grabar en tablas WAPSA correspondientes 3.2 Procesamiento de Humedades - Despacho Extraer campos de humedades del CSV Implementar lógica de procesamiento Grabar información en tablas WAPSA correspondientes Manejo de errores y logs 3.3 Pruebas - Módulo Despacho Realizar pruebas para cada tipo de contenedor Validar correcta grabación de datos por tipo Probar escenarios de error y manejo de excepciones Validación integral del flujo completo &amp;#128295; Consideraciones Técnicas Framework: .NET 4.7.2 Conexión BD: Usar componentes nativos de .NET (sin librerías externas) Origen de datos: Archivos CSV desde servidor FTP Destino: Tablas WAPSA (Recepción y Despacho) Logging: Implementar registro de operaciones y errores ✅ Criterios de Aceptación Proyecto .NET 4.7.2 correctamente configurado Conexión FTP funcional y lectura de archivos CSV Procesamiento correcto de Pesos y Humedades para Recepción Procesamiento correcto de Pesos y Humedades para Despacho (todos los tipos de contenedor) Datos grabados correctamente en tablas WAPSA Pruebas realizadas y documentadas Manejo de errores implementado Código limpio y documentado</t>
  </si>
  <si>
    <t>15/4/2025 7:00:00 p. m.</t>
  </si>
  <si>
    <t>14/6/2025 7:00:00 p. m.</t>
  </si>
  <si>
    <t>25/2/2025 7:00:00 p. m.</t>
  </si>
  <si>
    <t>10/3/2025 7:00:00 p. m.</t>
  </si>
  <si>
    <t>@Cristian Pastor Artigas desarrollo finalizado pendientes pruebas finales de ambois flujos Tara y bruto</t>
  </si>
  <si>
    <t>26/7/2025 3:31:00 a. m.</t>
  </si>
  <si>
    <t>Descripción: Arreglar porque esta generando el nuevo lote callao basado en la fecha de registro y no en la fecha de muestreo Adicionalmente, para la opcion "Modificar lote callao" extender la funcionalidad para que al generar nuevo lote el usuario pueda decir que lote nuevo necsita agregar ejemplo Actualmente: Usuario coloca "Generar nuevo Lote Callao" El sistema crea un nuevo lote callao para el lote actual Mejora: Usuario coloca "Generar nuevo Lote callao" se muestra los "Lotes" donde va poder seleccionar en cual se crear un nuevo lote callao adicional El sistema crear un nuevo luego callao segun el lote seleccionado Solución:</t>
  </si>
  <si>
    <t>17/8/2025 7:00:00 p. m.</t>
  </si>
  <si>
    <t>26/9/2025 7:09:00 a. m.</t>
  </si>
  <si>
    <t>27/9/2025 7:00:00 p. m.</t>
  </si>
  <si>
    <t>29/10/2025 4:48:00 a. m.</t>
  </si>
  <si>
    <t>Ticket 457 - Wapsa - GRE - Fallo al generar TXT en GRE Remanentes https://dev.azure.com/SycSistemas/WAPSA/_boards/board/t/WAPSA%20Team/Stories?workitem=489</t>
  </si>
  <si>
    <t>29/5/2024 7:00:00 p. m.</t>
  </si>
  <si>
    <t>18/8/2024 7:00:00 p. m.</t>
  </si>
  <si>
    <t>Carlos Zenteno reporta: Se tuvo inconveniente con el Wapsa al ingresar pre asignado al guardar un vagon 10008 se demoraba en cargar lo actualice el sistema y generó 2 lotes con el mismo vagon y precinto como se observa en la imagen. 30/05 @Cristian Pastor Artigas Se replica el caso en Testing. Diagnóstico: el registro se genera al dar dos clicks seguido al boton guardar. Solucion: Se debe bloquear el boton a dar el guardar. Se debe corregir en versión. 30/05 @Cristian Pastor Artigas Corregido en PR 185: Ticket 307 Ticket 346 Ticket 308 . Se tagea Ticket a version 2.17</t>
  </si>
  <si>
    <t>13/8/2024 7:00:00 p. m.</t>
  </si>
  <si>
    <t>Luis casas reporta: 1. Desde hace una semana aprox, no se está cargando la información automáticamente, se está ejecutando manualmente. 2. En la tabla HumedadesPesosyLeyes no hay información de antes de Noviembre 2023: 3. En la misma tabla anterior el valor vcLoteCallao está cargando a su vez el sublote en algunas guías, debería ser solo el valor del mes. 27/08 @Cristian Pastor Artigas Falta enviar scripts en ticket para ejecución manual 02/09 @Cristian Pastor Artigas Ticket enviados para firmas 02/09 @Cristian Pastor Artigas Enviado a TICA</t>
  </si>
  <si>
    <t>11/9/2024 7:00:00 p. m.</t>
  </si>
  <si>
    <t>9/10/2024 7:00:00 p. m.</t>
  </si>
  <si>
    <t>Descripción: Al ingresar al detalle de un vagón en vagones observados, el punto: “Estado Dif. Peso Tara Supervisor: DENTRO DEL RANGO” debe indicar “NO APROBADO” Revisar porque esta registrandose con ese estado Solución:</t>
  </si>
  <si>
    <t>5/9/2024 7:00:00 p. m.</t>
  </si>
  <si>
    <t>TICA solicita: 06/09 @Cristian Pastor Artigas Se envia parte de lam documentacion, resta enviar Diagrma de Arquitectura de Wapsa 09/09 @Cristian Pastor Artigas Se envia Documentacion de Arquitectura de Wapsa</t>
  </si>
  <si>
    <t>23/9/2024 7:00:00 p. m.</t>
  </si>
  <si>
    <t>Jorge Garcia Reporta:</t>
  </si>
  <si>
    <t>13/10/2024 7:00:00 p. m.</t>
  </si>
  <si>
    <t>4/9/2025 6:24:00 a. m.</t>
  </si>
  <si>
    <t>17/10 @Cristian Pastor Artigas Cambios en Testing. Se envia correo a cotecna informando que ya esta ok</t>
  </si>
  <si>
    <t>17/12/2024 7:00:00 p. m.</t>
  </si>
  <si>
    <t>4/9/2025 6:16:00 a. m.</t>
  </si>
  <si>
    <t>Mjorar mensajes de error si es que no existe una balanza creada al momento de registrar la GRE</t>
  </si>
  <si>
    <t>15/9/2025 7:56:00 a. m.</t>
  </si>
  <si>
    <t>2/10/2025 7:20:00 a. m.</t>
  </si>
  <si>
    <t>2/10/2025 2:25:00 p. m.</t>
  </si>
  <si>
    <t>24/9/2025 7:00:00 p. m.</t>
  </si>
  <si>
    <t>26/9/2025 7:10:00 a. m.</t>
  </si>
  <si>
    <t>Emite incorrectamnete las guias de: Remanentes: -RepesoVenta -EmbarqueGranel -RemanentesTransportadoras -DevoluciónContenedor -VagonesLimpieza</t>
  </si>
  <si>
    <t>12/9/2024 7:00:00 p. m.</t>
  </si>
  <si>
    <t>Descripción: En la lista de vagones que han sido aprobados para no destarar (pesaje manual), se debe agregar el detalle de los vagones observados. El usuario requiere que por cada item se despliegue un menu con una opción que diga "Ver Vagones Observados" - Este mostrará un pop up donde se listará los vagones observados según el registro. Solución:</t>
  </si>
  <si>
    <t>10/9/2024 7:00:00 p. m.</t>
  </si>
  <si>
    <t>Descripción: Si hay algo pendiente de aprobación en vagones observados debe llegar un correo a los supervisores mina a modo de recordatorio. Este ejemplo es uso de precinto duplicado mes agosto 2024 Se requiere tener un job para poder reenviar el correo de recordatorio cada 72 h Solución:</t>
  </si>
  <si>
    <t>8/9/2024 7:00:00 p. m.</t>
  </si>
  <si>
    <t>Descripción: En la pestaña de vagones observados no está filtrando correctamente, por ejemplo en Setiembre 2024 se tiene varios vagones pendientes d aprobación por parte del supervisor pero solo aparecen cuando se coloca todos. Solución:</t>
  </si>
  <si>
    <t>Descripción: Cuando el usuario ya tiene un registro de pesaje en estado "Peso Bruto/Tara" y este pertenece a un grupo de "Pesaje Manual" el sistema te permite cambiar en la balanza a "Auto" lo cual no debería permitir ya que este puede cambiar el guardado del registro Solución: @Cristian Pastor Artigas Se revisa caso y se comprueba que las guia generadas durante los pesaje manuales estan correctas; quizas se necesaria una reunion con Carlos Zenteno para comentar este tema. Adjunto Excel con comprobaciones De momento se cierra Ticket.</t>
  </si>
  <si>
    <t>10/10/2024 7:00:00 p. m.</t>
  </si>
  <si>
    <t>Carlos Linares Reporta que en Callao-Cuadre no lista vagones con inspeccion Esta correccion fue realizada en el pase a produccion de la version Wapsa v2.17</t>
  </si>
  <si>
    <t>24/9/2024 7:00:00 p. m.</t>
  </si>
  <si>
    <t>29/9/2024 7:00:00 p. m.</t>
  </si>
  <si>
    <t>Agregar link en las guias T018 para descargar PDF en Guias Electronicas</t>
  </si>
  <si>
    <t>20/10/2024 7:00:00 p. m.</t>
  </si>
  <si>
    <t>Wally Reporta</t>
  </si>
  <si>
    <t>1/8/2025 7:00:00 p. m.</t>
  </si>
  <si>
    <t>25/11/2025 7:00:00 p. m.</t>
  </si>
  <si>
    <t>Descripción: El usuario detecto que el stock inicial esta diferente al dia anterior del 01/08 al 31/08 Solución:</t>
  </si>
  <si>
    <t>24/10/2024 7:00:00 p. m.</t>
  </si>
  <si>
    <t>10/11/2024 7:00:00 p. m.</t>
  </si>
  <si>
    <t>Diego cardenas reporta: 28/10 @Cristian Pastor Artigas Enviado a TICA</t>
  </si>
  <si>
    <t>27/10/2024 7:00:00 p. m.</t>
  </si>
  <si>
    <t>Al aprobarse una reasignacion esta no genera una operacion interna que origina que se pueda ver en los reportes y falla, por el momento puede verse en el modulo de Asignación. -Error al aprobar un pesaje Manual por Modulo -Finalizado</t>
  </si>
  <si>
    <t>30/10/2024 7:00:00 p. m.</t>
  </si>
  <si>
    <t>20/11/2024 7:00:00 p. m.</t>
  </si>
  <si>
    <t>Carlos Zenteno Reporta Se agrega script de solucion del ticket Ticket 389 - Wapsa - Mina - Pesaje- Cambia columna Aprobacion pesaje Manual tara cuando es con pesaje manual pre aprobado https://dev.azure.com/SycSistemas/WAPSA/_boards/board/t/WAPSA%20Team/Stories/?workitem=350</t>
  </si>
  <si>
    <t>18/11/2024 7:00:00 p. m.</t>
  </si>
  <si>
    <t>Carlos zenteno Solicita 11/11 @Cristian Pastor Artigas se envia solucion en Ticket https://dev.azure.com/SycSistemas/WAPSA/_boards/board/t/WAPSA%20Team/Stories/?workitem=349</t>
  </si>
  <si>
    <t>Carlos Zenteno reporta 11/11 @Cristian Pastor Artigas Se envia correccion dentro de ticket 388 https://dev.azure.com/SycSistemas/WAPSA/_boards/board/t/WAPSA%20Team/Stories/?workitem=349</t>
  </si>
  <si>
    <t>-La guía T018-0013488 Sublote: 1863 Lote: CT2409 Se colocó en Estado Dif. Peso Tara Supervisor = Pendiente, pero por lo que veo Jorge Garcia ya la aprobó así que habrá que esperar un siguiente ticket para que se solucione del todo y ya no aparezca pendien</t>
  </si>
  <si>
    <t>5/1/2025 7:00:00 p. m.</t>
  </si>
  <si>
    <t>Reportado por Carlos Zenteno Correciones/Mejora: La columna Estado Dif. Peso Taray Estado Dif. Peso Tara Supervisor ahora indicará PESO DENTRO DEL RANGO no hay diferencias Las columnas Tipo Pesaje Manul Tara y Tipo Pesaje Manual Bruto ahor seran renombradas a Tipo Pesaje Tara y Tipo Pesaje bruto y servirá para indicar no solo que tipo de peso manual se utilizo sino tambien cuando se ha usado la balanza. Esta correccion de columnas debe realizarse para el excel que se exporta en el modulo de Pesaje Manual Finalizado:</t>
  </si>
  <si>
    <t>12/11/2024 7:00:00 p. m.</t>
  </si>
  <si>
    <t>21/11/2024 7:00:00 p. m.</t>
  </si>
  <si>
    <t>25/11/2024 7:00:00 p. m.</t>
  </si>
  <si>
    <t>Carlos Zenteno Reporta:</t>
  </si>
  <si>
    <t>Wally reporta</t>
  </si>
  <si>
    <t>Carlos Zenteno reporta System.Exception: Execution Timeout Expired. The timeout period elapsed prior to completion of the operation or the server is not responding. Operation cancelled by user. Se terminó la instrucción. at WebMasterPla.Data.Conection.gDatos.TraerValor(Int32 IdUsuario, Int32 IdContratista, String ProcedimientoAlmacenado, Dictionary`2 parametros) at Chinalco.DespachoDAO.DespachosDAO.Actualizar(gDatos objCon, Despacho objentidad) in D:\MCPProjects\MCPWebProjects\WAPSA\Chinalco.DespachoDAO\DespachoDAO.cs:line 377 at Chinalco.DespachoBAL.clsGestionarDespachoBAL.Guardar(Despacho obj) in D:\MCPProjects\MCPWebProjects\WAPSA\Chinalco.Despacho\DespachoBAL.cs:line 606 @Cristian Pastor Artigas Se crea ticket para capturar el error, esta a la espera de ejecucion del ticket 392</t>
  </si>
  <si>
    <t>1/12/2024 7:00:00 p. m.</t>
  </si>
  <si>
    <t>6/1/2025 7:00:00 p. m.</t>
  </si>
  <si>
    <t>14/1/2025 7:00:00 p. m.</t>
  </si>
  <si>
    <t>Carlos Zenteno envia vagones sin destare para que sean agregardos al sistema bajo el pesaje manual Estos es un error de Wapsa que no los asigno al momento del pesaje y debe hacerse en un tivket modificando la columna TipoPesoManual Archivos en adjuntos Estimado Luis: Se adjunta la lista de vagones que fueron cargados sin destare. 08/11/24, Turno “B”. https://dev.azure.com/SycSistemas/833274e7-44d5-4093-8f90-9bab7903e605/_apis/wit/attachments/697ec761-0121-45b9-8297-702c85d99b18?fileName=rptDespachoDiario%2008.11.24_B.xlsx&amp;download=true&amp;api-version=5.0-preview.2 Estimado Luis: Se adjunta la lista de vagones que fueron cargados sin destare. 09/11/24, Turno “B”. https://dev.azure.com/SycSistemas/833274e7-44d5-4093-8f90-9bab7903e605/_apis/wit/attachments/f3f84e59-3d4d-474b-a0d0-3e27e03448bd?fileName=rptDespachoDiario%2009.11.24_B.xlsx&amp;download=true&amp;api-version=5.0-preview.2 Estimado Luis: Se adjunta la lista de vagones que fueron cargados sin destare. 10/11/24, Turno “B”. https://dev.azure.com/SycSistemas/833274e7-44d5-4093-8f90-9bab7903e605/_apis/wit/attachments/8746da6f-cb67-44ab-a2ff-531aa30a8132?fileName=rptDespachoDiario%2010.11.B.xlsx&amp;download=true&amp;api-version=5.0-preview.2 Estimado Luis: Se adjunta la lista de vagones que fueron cargados sin destare. 11/11/24, Turno “B”. https://dev.azure.com/SycSistemas/833274e7-44d5-4093-8f90-9bab7903e605/_apis/wit/attachments/e4fcbea8-7409-4319-8c1c-fef366e93b2e?fileName=rptDespachoDiario%2011.11.B.xlsx&amp;download=true&amp;api-version=5.0-preview.2 Estimado Luis: Se adjunta la lista de vagones que fueron cargados sin destare. 12/11/24, Turno “B”. https://dev.azure.com/SycSistemas/833274e7-44d5-4093-8f90-9bab7903e605/_apis/wit/attachments/f3fb234a-af27-4ffc-987b-dcd24bd1731a?fileName=rptDespachoDiario%2012.11.B.xlsx&amp;download=true&amp;api-version=5.0-preview.2 @Cristian Pastor Artigas Dentro de este ultimo formato ( 12/11/24, Turno “B”. ) se envia la guia T018-0016428 pero fue excluida para agregar al pesaje manual porque se compruba por la base de datos que se uso la balanza las taras son diferentes; @Cristian Pastor Artigas Finalizado script se tagea para enviar con la version</t>
  </si>
  <si>
    <t>27/11/2024 7:00:00 p. m.</t>
  </si>
  <si>
    <t>Corregir para que Wapsa muestre siempre pantalla de bloqueo/cargando cuando se el usuario hace click en guardar o enviar en un pesaje en los 3 pasos: Preasignar, peso tara y peso bruto. @Cristian Pastor Artigas 28/11 corregido en branch featured/Ticket398Mejorarventanasbloqueo-cargando</t>
  </si>
  <si>
    <t>23/1/2025 7:00:00 p. m.</t>
  </si>
  <si>
    <t>7/4/2024 7:00:00 p. m.</t>
  </si>
  <si>
    <t>Agregar dos columnas para que el proceso pueda ser auditado directamente 08/04 @Cristian Pastor Artigas se crea columnas de auditoria adicionales en branch https://dev.azure.com/SycSistemas/833274e7-44d5-4093-8f90-9bab7903e605/_git/WAPSA?version=GBcambios/filtra_lista_despacho</t>
  </si>
  <si>
    <t>23/5/2024 7:00:00 p. m.</t>
  </si>
  <si>
    <t>Descripción: 1. Debe estar alineada al semáforo, si está en rojo o amarillo debe de listarse 2. Si estuvo en verde y pasa a amarillo o rojo debe de volver a listarse. Solución: 23/04 @Cristian Pastor Artigas Script modifcado para listar todas las IE's en rojo o amarillo 06/05 @Cristian Pastor Artigas En espera de crear formato para enviar ticket 15/05 @Cristian Pastor Artigas Se envia documento para firma de Alejandro 16/05 @Cristian Pastor Artigas Se envia a TICA</t>
  </si>
  <si>
    <t>17/4/2024 7:00:00 p. m.</t>
  </si>
  <si>
    <t>Cuando se genera un pesaje cuyo peso tara no genera diferencia el sistema le asigna el texto APROBADO, deberia indicar DENTRO DEL RANGO 18/04 @Cristian Pastor Artigas Se graba en inicialmente en Dentro del Rango pero se cambiar a Aprobado una vez se registra el Peso Bruto por que se esta cambiando de valor una variable que no debe 18/04 @Cristian Pastor Artigas Se colocara como cambio en proxima version de Wapsa</t>
  </si>
  <si>
    <t>16/4/2024 7:00:00 p. m.</t>
  </si>
  <si>
    <t>El usuario indica que no le lista correctamente al utilizar el filtro por fechas Se debe revisara el script si fue ejecutado en el pase 17/04 @Cristian Pastor Artigas Se revisa script para listado por lote y la correccion va en el ticket #224 . 17/07 @Cristian Pastor Artigas La correccion para el listado de fechas debe ser en la proxima version v2.16</t>
  </si>
  <si>
    <t>13/5/2024 7:00:00 p. m.</t>
  </si>
  <si>
    <t>El usuario indica que no le lista correctamente al utilizar el filtro por IE's abiertos 19/04 @Cristian Pastor Artigas El Listado funciona en desarrollo y en Produccion (WAPSAES), resta comprobar con Wally si el proble es especifico en Wapsa MCP de produccion. Si esta correcto se debe cerrar el ticket</t>
  </si>
  <si>
    <t>23/4/2024 7:00:00 p. m.</t>
  </si>
  <si>
    <t>20/5/2024 7:00:00 p. m.</t>
  </si>
  <si>
    <t>Descripción: Se requiere que la IE "Arrow 198/23" se pueda cerrar. Actualmente no se puede porque no contiene datos y se tiene un validación que solo se puede cerrar una vez cumpla las condiciones de tener pesos y humedades completas Solución: 21/05 @Cristian Pastor Artigas Cerrada via Wapsa</t>
  </si>
  <si>
    <t>21/05 @Cristian Pastor Artigas Hay un diferencia de 54.86 debido a que un despacho fue registrado con producto=Molibdeno Nro Guia=T018-0006837 21/05 @Cristian Pastor Artigas Se corrige el despacho cambiando el producto por cobre</t>
  </si>
  <si>
    <t>Wally indica que no se muestra cuando un embarque a granel no tiene diferencia. Debe mostrarte en las columnas para diferencia en No 21/05 @Cristian Pastor Artigas En proceso de revision 22/05 @Cristian Pastor Artigas Se corrige el error PR 187: Correccion para que liste las iE's con TMH 0 y marque los filtros de IEs Gran...</t>
  </si>
  <si>
    <t>21/5/2024 7:00:00 p. m.</t>
  </si>
  <si>
    <t>Diego Cxardenas detecta que no muestra las IEs con Peso TMH = 0 se queda cargando y no finaliza 22/05 @Cristian Pastor Artigas Se genera correccion PR 187: Correccion para que liste las iE's con TMH 0 y marque los filtros de IEs Gran...</t>
  </si>
  <si>
    <t>Diego Cardenas Reporta:</t>
  </si>
  <si>
    <t>Michael Curi ha reportado: Ticket 325 - El mail de inspección Mina-Callao muestra los checks de inspección incorrectamente El orden en el que se muetran los checks de la inspección dentro del mail no coincide con el de Wapsa. 22/02 Se detecta que tambien ocurre en inspeccion Mina 22/02 Se corrige y se envia formato a Alejandro para la firma y eviarlo como Ticket @Cristian Pastor Artigas 27/02 Se envia Ticket a TICA @Cristian Pastor Artigas 01/03 Alexander envia Ticket a la Mesa de Servicios @Cristian Pastor Artigas 04/03 Se consulta por el estado del Ticker no se obtiene respuesta @Cristian Pastor Artigas 11/03 Se consulta por el estado del Ticker no se obtiene respuesta @Cristian Pastor Artigas</t>
  </si>
  <si>
    <t>05/03 Error al momento de oreasignar</t>
  </si>
  <si>
    <t>10/3/2024 7:00:00 p. m.</t>
  </si>
  <si>
    <t>25/3/2024 7:00:00 p. m.</t>
  </si>
  <si>
    <t>Wally inidca que al aprobar por el correo el Pesaje Manual no cambia de estado. 08/03: Se corrige error de parobacion @Cristian Pastor Artigas 11/03: Se envia a testing para prueba rapida esta ok @Cristian Pastor Artigas</t>
  </si>
  <si>
    <t>17/3/2024 7:00:00 p. m.</t>
  </si>
  <si>
    <t>La ruma 45 es parte del historico de la ruma 002 19/03 @Cristian Pastor Artigas se envia para firmas de Alejandro</t>
  </si>
  <si>
    <t>19/03 @Frank Macavilca Detecta que un error en la conexion de Wapsa con la base de datos del servidor PIServer. Se envia correo a Alexander para que verifique esta conexion 25/03 Error fue de la conexión que se tiene con PIServer</t>
  </si>
  <si>
    <t>21/10/2025 7:00:00 p. m.</t>
  </si>
  <si>
    <t>16/12/2024 7:00:00 p. m.</t>
  </si>
  <si>
    <t>Cuando se obtienen datos desde el Trader y se genrea algun tipo de error de bloqueo o comunicacion entra ambas Bd's no se muestra:</t>
  </si>
  <si>
    <t>7/7/2025 6:05:00 a. m.</t>
  </si>
  <si>
    <t>7/7/2025 7:00:00 p. m.</t>
  </si>
  <si>
    <t>Este ticket tiene como objetivo atender el requerimiento de Diego Cárdenas el cual ha detecto que se debe cambiar la fecha que utiliza el Wapsa para obtener el listado de stock por día, ahora debe utilizar la fecha de proceso según calendario; para que los valores de TMH cuadren correctamente con la de otros reportes.</t>
  </si>
  <si>
    <t>[Ver. 4.29]</t>
  </si>
  <si>
    <t>25/1/2026 7:00:00 p. m.</t>
  </si>
  <si>
    <t>23/3/2026 6:16:00 a. m.</t>
  </si>
  <si>
    <t>[Ver. 2.29]</t>
  </si>
  <si>
    <t>28/1/2026 7:00:00 p. m.</t>
  </si>
  <si>
    <t>9/2/2026 11:09:00 a. m.</t>
  </si>
  <si>
    <t>Ticket 482 - Wapsa - Lista de Despacho - No muestra la informacion del campo Almacen vacíos al ver la IE</t>
  </si>
  <si>
    <t>[Ver. 2.28]; SLA</t>
  </si>
  <si>
    <t>9/3/2026 5:00:00 a. m.</t>
  </si>
  <si>
    <t>9/3/2026 8:00:00 a. m.</t>
  </si>
  <si>
    <t>SLA</t>
  </si>
  <si>
    <t>Corregido siguiente pase</t>
  </si>
  <si>
    <t>Ticket 483 - Wapsa - Lista de Despacho - Error de formato de fechas al exportar detalle de despachos de pesos de una IE</t>
  </si>
  <si>
    <t>8/3/2026 7:00:00 p. m.</t>
  </si>
  <si>
    <t>Al importar información como Guías/Pesos a una IE de la Lista de Despacho el formato de fecha esta errado, WAPSA interpreta erróneamente la info y graba la fecha con un formato distinto al del Excel de importación, favor corregir ya que no esta quedando grabada correctamente la información en WAPSA.</t>
  </si>
  <si>
    <t>Ticket 484 - Wapsa - Asignacion - No llegan los mails de aprobación de Asignacion de Ruma/IE</t>
  </si>
  <si>
    <t>13/3/2026 1:11:00 p. m.</t>
  </si>
  <si>
    <t>16/3/2026 7:26:00 a. m.</t>
  </si>
  <si>
    <t>Ticket 485 - WAPSA - Ajuste Final no deja registrar debido a validacion</t>
  </si>
  <si>
    <t>[Ver. 2.28]</t>
  </si>
  <si>
    <t>15/3/2026 5:09:00 p. m.</t>
  </si>
  <si>
    <t>Descripción: He registrado el ultimo movimiento de esa ruma a las 23:00 hrs del 14/03, el ajuste lo estoy poniendo como 14/03 23:59, por que si le pongo 15/03 que fue en realidad la operación me sale otro error que dice que la fecha no puede ser posterior a la fecha de resumen Solución:</t>
  </si>
  <si>
    <t>Ticket 486 - Wapsa - Ajuste Mensual - Muestra erroneamente los ingresos de la ruma R26-001</t>
  </si>
  <si>
    <t>16/3/2026 1:31:00 p. m.</t>
  </si>
  <si>
    <t>Solución: El usuario no recordo que no esta contemplado en el lógica moviemientos internos por lo que lo cambio a junta y todo funciono como lo esperado</t>
  </si>
  <si>
    <t>Ticket 478 - Spike - Wapsa  - Lista de Dspachos - Documentar como se generan las GRE's para Embarques</t>
  </si>
  <si>
    <t>Descripción: Se requiere considerar nuevo caso que viene de la vista del Trader para ser consumido por el modulo del wapsa Evidence of shipment. Nicolas se hará cargo de la modificación Luego tenemos que importar y ver esta operación Solución:</t>
  </si>
  <si>
    <t>28/4/2024 7:00:00 p. m.</t>
  </si>
  <si>
    <t>11/6/2024 7:00:00 p. m.</t>
  </si>
  <si>
    <t>17/6/2024 7:00:00 p. m.</t>
  </si>
  <si>
    <t>@Frank Macavilca la IE en cuestion no ha cumplido los 7 dias de registrada hasta la fecha y pos eso no sale en el listado 04/06 @Cristian Pastor Artigas Se corrige listado para que filtre correctamnete utilizando los lotes actual y el anterior. Se enviara</t>
  </si>
  <si>
    <t>10/6/2024 7:00:00 p. m.</t>
  </si>
  <si>
    <t>Nicolas solicitar completar infromacion resulotante de uan reunion con Chnalco sobre propuestas de mejoras acerca de los Pases a produccion, tickets y ambientes de pruebas 11/06 @Cristian Pastor Artigas Reunion con NV y DM para revisar propuestas de mejoras. 12/06 @Cristian Pastor Artigas Se envian propuestas a evaluacion de NV</t>
  </si>
  <si>
    <t>23/6/2024 7:00:00 p. m.</t>
  </si>
  <si>
    <t>Diego Cardenas reporta 24/06 @Cristian Pastor Artigas Se detecta un repeso total duplicado: @Frank Macavilca Responde via mail</t>
  </si>
  <si>
    <t>14/4/2025 7:00:00 p. m.</t>
  </si>
  <si>
    <t>22/4/2025 7:00:00 p. m.</t>
  </si>
  <si>
    <t>1/6/2025 7:00:00 p. m.</t>
  </si>
  <si>
    <t>Carlos Zenteno solicita: El mail de Faltante Stock Mina debe indicar que falta por cargar Stock del dia Chinalco inmediato anterior y no del actual.</t>
  </si>
  <si>
    <t>31/3/2025 7:00:00 p. m.</t>
  </si>
  <si>
    <t>17/4/2025 9:35:00 a. m.</t>
  </si>
  <si>
    <t>7/6/2025 7:03:00 a. m.</t>
  </si>
  <si>
    <t>7/6/2025 9:03:00 a. m.</t>
  </si>
  <si>
    <t>14/6/2025 10:30:00 a. m.</t>
  </si>
  <si>
    <t>Descripción: Error no se puede asignar "T018-0030057" esta guia debido a que el registro en el "Pesaje" no tiene "Producto" asignado debido al sistema Solución: Mandar un script para actualizar el idproducto del registro y permita Asignar.</t>
  </si>
  <si>
    <t>5/6/2025 7:00:00 p. m.</t>
  </si>
  <si>
    <t>10/6/2025 8:07:00 a. m.</t>
  </si>
  <si>
    <t>Descripción: El usuario requiere implementar nuevo caso para las GRE "Otros" que será generado por impala via "API" Solución: Se implementa código para soportar el caso "Otros"</t>
  </si>
  <si>
    <t>12/6/2025 12:21:00 p. m.</t>
  </si>
  <si>
    <t>13/7/2025 7:00:00 p. m.</t>
  </si>
  <si>
    <t>21/7/2025 10:18:00 a. m.</t>
  </si>
  <si>
    <t>18/7/2025 2:36:00 p. m.</t>
  </si>
  <si>
    <t>21/7/2025 9:00:00 a. m.</t>
  </si>
  <si>
    <t>Descripción: El usuario detecto que al guardar unos de los vagones en el arribo mina se ve triplicado en el detalle Esto es ocasiado porque el SP que se encarga de mostrar el detalle de los vagones no esta filtrando correctamente por las guias activas por lo que se ven esas dos guías demás Solución: SP a modificar: [dp].[DP_OrdenTrabajoArriboDetalle_Paginado_pa] Agregar en la condicional "Dg.IdEstado = 1"</t>
  </si>
  <si>
    <t>Luis Casas indica en la reunion de 11/06 que el reporte de Mayo no le muestra informacion y para Junio le faltan datos de leyes sobre algunas guias. 12/06 @Cristian Pastor Artigas Se revisa Mayo y Junio y no se muestra la informacion completa porque el script filtra solo por Guias en estado 1 y debe hacerlo para 1 y 2 (preasignado y con Peso Bruto). Se corrige scripit en BI Se corrige script para ejecucion manual en Wapsa se enviara a TICA cambios dentro del Ticket 360 https://dev.azure.com/SycSistemas/WAPSA/_boards/board/t/WAPSA%20Team/Stories/?workitem=257 08/07 @Cristian Pastor Artigas Enviado a TICA</t>
  </si>
  <si>
    <t>18/6/2024 7:00:00 p. m.</t>
  </si>
  <si>
    <t>El listado de Pesos de este tipo de IE's de queda cargando 17/16 @Cristian Pastor Artigas Se debe corregir script [eq].[EQ_VerDetallexLote_pa] Error: Division By Zero. A la espera de usuario citrix para pruebas TC #109995. 18/06 @Cristian Pastor Artigas Correccion realizada a la espera de formato para firmas. Adjunto al Ticket el script 08/07 @Cristian Pastor Artigas Enviado a TICA</t>
  </si>
  <si>
    <t>6/8/2024 7:00:00 p. m.</t>
  </si>
  <si>
    <t>Wally reporta Poner IES en una misma lista 19/06 @Cristian Pastor Artigas Se corrige el script quitando restriccion de dias para atras para que utilice los lotes. Adjunto script. queda a la espera de formato para enviarlo. 08/07 @Cristian Pastor Artigas Enviado a TICA 18/07 @Cristian Pastor Artigas El correo no muestra el numero de IE</t>
  </si>
  <si>
    <t>2/7/2024 7:00:00 p. m.</t>
  </si>
  <si>
    <t>Wally reporta:</t>
  </si>
  <si>
    <t>8/7/2024 7:00:00 p. m.</t>
  </si>
  <si>
    <t>6/7/2024 7:00:00 p. m.</t>
  </si>
  <si>
    <t>Wally Reporta: SI no hay diferencias no deberia indicar ESTADO DIF PESO TARA = Aprobado deberia decir DENTRO DEL RANGO</t>
  </si>
  <si>
    <t>Wally Moscoso Reporta</t>
  </si>
  <si>
    <t>23/7/2024 7:00:00 p. m.</t>
  </si>
  <si>
    <t>Los usuario inidcan que no pueden realizar transacciones sobre el Wapsa. En reunion con se detecta que un usuario que accedio al parece tiene un proceso bloqueado lo que ocasiona bloqueo sobre los demas. EL DBA desbloquea los accesos para que puedan contiuar operando</t>
  </si>
  <si>
    <t>11/2/2024 7:00:00 p. m.</t>
  </si>
  <si>
    <t>Descripción: No se puede aprobar o rechazar desde el mail el pesaje manual automático (no funciona al dar click de aprobar o rechazar)</t>
  </si>
  <si>
    <t>12/2/2024 7:00:00 p. m.</t>
  </si>
  <si>
    <t>Descripción: Mina/despacho: Los casos revisados son de diferencia de peso Tara, los adjuntos se están grabando en Peso Bruto (corregir) Solución: Se realiza correccion @Cristian Pastor Artigas 13/02 Pendiente revisión</t>
  </si>
  <si>
    <t>Descripción: Mina/despacho, vagones observados: No se exporta por completo la lista de vagones despachados observados // vista de aprobación de pesaje manual bruto y tara Solución: Correccion realizada @Cristian Pastor Artigas</t>
  </si>
  <si>
    <t>Descripción: Corregir el ITEM para cuando se despliega el “VER DETALLE” de pesos en traslados externos y contenedores en la lista de despacho Solución:</t>
  </si>
  <si>
    <t>30/1/2024 7:00:00 p. m.</t>
  </si>
  <si>
    <t>1/2/2024 7:00:00 p. m.</t>
  </si>
  <si>
    <t>/Descripción: Stock Callao (revisará MM). Pendiente Michael tiene que enviar los valores correctos Actualización 29/01: Michael reviso testing, comenta que el resumen en TMS la suma de las rumas no da el resultado total. El Valor final que sale del TMS se debe ver reflejado como valor inicial en el siguiente mes Solución: 31/01/2024 Se tiene solucion del ticket. Se envia formato para firma de Alejandro @Cristian Pastor Artigas 31/10/2023 En firmas Por TICA</t>
  </si>
  <si>
    <t>Descripción: No llega el mail de vagones con diferencia de pesos brutos en Callao / Volteo (pendiente notificación) 30/01: Sigue pendiente crear la notificación - Cristian SYC 02/02: Pendiente Wally crear la notifiación</t>
  </si>
  <si>
    <t>Descripción: Cierre de IE’s – Hay 3 IE’s que la leyes están de color amarillo en la lista de despacho y el usuario indica que ya tiene todas las guías importadas Solución: Tieene que volver a importar las leyes por estos casos debido a que el WAPSA no guardo las leyes de todas las guías</t>
  </si>
  <si>
    <t>31/1/2024 7:00:00 p. m.</t>
  </si>
  <si>
    <t>Descripción: Hola Cristian después del primer caso de diferencia de pesos (marcado en amarillo), el Wapsa no ha reconocido lo 03 siguientes que figuran en la siguiente lista. Pf revisar urgente que paso. Nota: veo que la única diferencia es la guía electrónica (T).. Solución: Se fuerza el cambio del valor iDisplayLength a = 10000 para el método ObtenerListaVolteoObsAlmacenDetallePaginado</t>
  </si>
  <si>
    <t>29/1/2024 7:00:00 p. m.</t>
  </si>
  <si>
    <t>Descripción: Modulo Mina - No deja adjuntar las evidencias para duplicidad de precintos Solución: @Cristian Pastor Artigas Se implementa el cambio, en espera de programar pase</t>
  </si>
  <si>
    <t>Descripción: Modulo Mina y Callao - Inspeccion En la lista de observados no se muestra el check de inspeccion en el orden que se guardo Solución: Se corrige script para ajustar ordenamiento al mostrar los valores de la inspeccion</t>
  </si>
  <si>
    <t>25/2/2024 7:00:00 p. m.</t>
  </si>
  <si>
    <t>Descripción: Mina/despacho: mover las opciones de click derecho referidas a aprobaciones a la pestaña de observados Solución: Se mueven botones de de aprobaciones a pestaña de observados</t>
  </si>
  <si>
    <t>4/2/2024 7:00:00 p. m.</t>
  </si>
  <si>
    <t>Descripción: El sgte vagón fue aprobado por Edwin Rios, sin embargo, sale mi usuario como si hubiese aprobado la observación. Favor podrían revisar que paso Solución: En la situación si tu diste aprobar primero con esa aprobación se queda el registro asi el otro usuario aprobó luego se queda con tu usuario. Revisando el código no vemos algún cambio y vemos los otros registros que están siendo guardados correctamente.</t>
  </si>
  <si>
    <t>6/2/2024 7:00:00 p. m.</t>
  </si>
  <si>
    <t>Descripción: Modulo Mina - pesaje - Diferencia pesos tara no esta evaluando correctamente cuando es mayor al factor Solución: Se cambio lógica para corregir este error</t>
  </si>
  <si>
    <t>Descripción: Modulo Callao - Volteo- Diferencia pesos brutosMina-Callao no esta evaluando correctamente cuando es mayor al factor Solución: Se cambio lógica para corregir este error</t>
  </si>
  <si>
    <t>Descripción: El usuario indica que se tiene una guía en el modulo de entrega directa que se genero correctamente la GRE pero visualmente se ve en el wapsa como estado anulado y sin fecha de impresión Solución: Se verifico el caso y el usuario dio dos veces click ocasionando un error en el WAPSA</t>
  </si>
  <si>
    <t>18/2/2024 7:00:00 p. m.</t>
  </si>
  <si>
    <t>Ticket 323 - Wapsa Reporte Asignacion - Muestra el valor incorrecto de TMH Guia T018-0001621 -El reporte suma de forma incorrecta el TMS por esta duplicada la Guia T018-0001621 en Entregas directas. -Se corrige modificando en entrega directa la Guia T018-0001621 a estado =0</t>
  </si>
  <si>
    <t>14/2/2024 7:00:00 p. m.</t>
  </si>
  <si>
    <t>15/05: Revisar listado de guia; LC inidca que tiene fecha de muestreo del lote CC2402 pero el sistema asigno lote CC2402 15/05: Se revisa el listado y el muestreo se grabo entre las 8 y 8:30 am del dia 26/04 por ende el sistema le asigno el lote 2402</t>
  </si>
  <si>
    <t>Jorge Garcia reporta que no carga la pantalla del stock Diario. 26/02 Se revisa listado se valida indexado y se envia correo a Jorge para verficar si ya se corrgió el listado @Cristian Pastor Artigas</t>
  </si>
  <si>
    <t>WAPSA\Sprint - Febrero - 2026</t>
  </si>
  <si>
    <t>29/1/2026 6:13:00 a. m.</t>
  </si>
  <si>
    <t>4/2/2026 7:00:00 p. m.</t>
  </si>
  <si>
    <t>Ticket 479 - Wapsa - Vagón de Inspeccion Callao no se muestra en el listado</t>
  </si>
  <si>
    <t>6/2/2026 7:09:00 a. m.</t>
  </si>
  <si>
    <t>9/2/2026 7:00:00 p. m.</t>
  </si>
  <si>
    <t>26/12/2024 7:00:00 p. m.</t>
  </si>
  <si>
    <t>13/1/2025 7:00:00 p. m.</t>
  </si>
  <si>
    <t>13/3/2025 7:00:00 p. m.</t>
  </si>
  <si>
    <t>Carlos Zenteno:</t>
  </si>
  <si>
    <t>12/1/2025 7:00:00 p. m.</t>
  </si>
  <si>
    <t>Requerimiento de Jorge Garcia</t>
  </si>
  <si>
    <t>17/1/2025 7:00:00 p. m.</t>
  </si>
  <si>
    <t>El usaurio reporta: En ocasiones al intentar preasigna un despacho el sistema tarda mas de los comun, y al final le salta una ventana de error. @Cristian Pastor Artigas Esta Venata de error es un timeout, se procede a cambiar la libreria de c#que hace el guardado en base de datos.</t>
  </si>
  <si>
    <t>Reportado por SyC Sistemas: Deberia mostrar en la pestaña de observados aquellos vagone pendientes por aprobar observacion Saludos</t>
  </si>
  <si>
    <t>22/1/2024 7:00:00 p. m.</t>
  </si>
  <si>
    <t>25/1/2024 7:00:00 p. m.</t>
  </si>
  <si>
    <t>Descripción: Mail de inspección observada en Callao sin data (mail en blanco) Solución:</t>
  </si>
  <si>
    <t>28/1/2024 7:00:00 p. m.</t>
  </si>
  <si>
    <t>Descripción: El Wapsa permitió grabar un Numero de Guía Electrónica con la letra T en minúscula en Volteo Solución:</t>
  </si>
  <si>
    <t>27/1/2026 7:00:00 p. m.</t>
  </si>
  <si>
    <t>26/1/2026 8:02:00 a. m.</t>
  </si>
  <si>
    <t>26/1/2026 10:02:00 a. m.</t>
  </si>
  <si>
    <t>29/1/2026 7:00:00 a. m.</t>
  </si>
  <si>
    <t>31/12/2024 7:00:00 p. m.</t>
  </si>
  <si>
    <t>2/1/2025 7:00:00 p. m.</t>
  </si>
  <si>
    <t>Diego cardenas reporte diferencias entre el ajus del mes de diciembre del Month Evidence Corte y del Ajuste mensual</t>
  </si>
  <si>
    <t>26/1/2025 7:00:00 p. m.</t>
  </si>
  <si>
    <t>Jorge Garcia reporte: que para realizar el arribo en callao no se estan mostyrando un conjunto de vagones que se les dio salida de mina en Dic-2024</t>
  </si>
  <si>
    <t>6/2/2025 7:00:00 p. m.</t>
  </si>
  <si>
    <t>Carloz Zenteno Reporta: El Wapsa esta marcando este vagon como pendiente por aprobacion por precintos. Pero no es posible su aprobacion o rechazo por que da error.</t>
  </si>
  <si>
    <t>25/1/2025 7:00:00 p. m.</t>
  </si>
  <si>
    <t>Diego CArdenas Reporta:</t>
  </si>
  <si>
    <t>30/1/2025 7:00:00 p. m.</t>
  </si>
  <si>
    <t>31/1/2025 7:00:00 p. m.</t>
  </si>
  <si>
    <t>2/11/2025 7:00:00 p. m.</t>
  </si>
  <si>
    <t>26/11/2025 10:24:00 a. m.</t>
  </si>
  <si>
    <t>Regirsra en el Mastyro de Parametrps de conexion el tiempo de delay:</t>
  </si>
  <si>
    <t>14/10/2025 7:00:00 p. m.</t>
  </si>
  <si>
    <t>- Habilitar 4 columnas de información en el reporte de H2OyLey Callao de Wapsa; grupos (G1,G2,G3,G4) para recibir la data de Cotecna</t>
  </si>
  <si>
    <t>18/11/2025 7:00:00 p. m.</t>
  </si>
  <si>
    <t>8/9/2025 7:00:00 p. m.</t>
  </si>
  <si>
    <t>6/10/2025 7:00:00 p. m.</t>
  </si>
  <si>
    <t>20/10/2025 7:00:00 p. m.</t>
  </si>
  <si>
    <t>15/12/2025 7:00:00 a. m.</t>
  </si>
  <si>
    <t>9/11/2025 7:00:00 p. m.</t>
  </si>
  <si>
    <t>13/11/2025 12:16:00 p. m.</t>
  </si>
  <si>
    <t>20/11/2025 7:00:00 p. m.</t>
  </si>
  <si>
    <t>15/12/2025 10:27:00 a. m.</t>
  </si>
  <si>
    <t>Carlos Zentenos Solicita: -Cambiar la frecuencia con la cual le llega el mail de recordatorio de aprobar un despacho pendiente por parte del supervisor cuando existe diferencias de taras, actualmente se enva cada 4 horas ´si hay alguno pendiente, solicita que se reprograme para llegar a las 10 am solo una vez al dia Nombre del JOB: Envio_Notificaciones_Pesaje_Pendiente_Supervisor</t>
  </si>
  <si>
    <t>25/12/2024 7:00:00 p. m.</t>
  </si>
  <si>
    <t>El usuario Diego Cardenas Reporta: Que los comprobantes a contnuacion no debeerian aparecer con montos sumando o restando debido a que son NC de Ventas documentarias</t>
  </si>
  <si>
    <t>Diego cardenas reporta que el Wapsa presenta un error cuando totaliza la columna TMS de ajuste mensual en al seccion final:</t>
  </si>
  <si>
    <t>12/6/2025 7:00:00 p. m.</t>
  </si>
  <si>
    <t>El listado de vagones no muestra información más alla de un rango de tres meses</t>
  </si>
  <si>
    <t>Wally Reporta 09/07 @Cristian Pastor Artigas Corregido. Se agrega archivo script a la espera de enviar correcion a TICA</t>
  </si>
  <si>
    <t>4/8/2024 7:00:00 p. m.</t>
  </si>
  <si>
    <t>Nicolas Solicita:</t>
  </si>
  <si>
    <t>1/8/2024 7:00:00 p. m.</t>
  </si>
  <si>
    <t>21/8/2024 7:00:00 p. m.</t>
  </si>
  <si>
    <t>Luis Casas Reporta @Cristian Pastor Artigas Preparar Formatos Tickets 08/08 @Cristian Pastor Artigas Enviado a TICA</t>
  </si>
  <si>
    <t>22/8/2024 7:00:00 p. m.</t>
  </si>
  <si>
    <t>25/8/2024 7:00:00 p. m.</t>
  </si>
  <si>
    <t>Se inslara el dia Lunes 26/08</t>
  </si>
  <si>
    <t>24/8/2024 7:00:00 p. m.</t>
  </si>
  <si>
    <t>Luis casas reporta Que una ruma nose visualiza en: 25/08 @Frank Macavilca Solucionado. Configuración de tipo muestro para el almacen modulo "Configuración - Conf. Tipo Muestreo"</t>
  </si>
  <si>
    <t>15/4/2024 7:00:00 p. m.</t>
  </si>
  <si>
    <t>EL JOB en produccion envia el mail periodicamente pero con error al mostrar la plantilla 08/04: @Frank Macavilca Corrige script para enviarlo como Ticket 08/04 @Cristian Pastor Artigas Se envia a Alejandro para firma 09/04 @Cristian Pastor Artigas Enviado a TICA</t>
  </si>
  <si>
    <t>10/4/2024 7:00:00 p. m.</t>
  </si>
  <si>
    <t>22/4/2024 7:00:00 p. m.</t>
  </si>
  <si>
    <t>No se muestran los datos iguales en la misma pantalla de vagones normales y observados Observados: Normales: 11/04 @Cristian Pastor Artigas Se envia Formato para la firma 15/04 @Cristian Pastor Artigas Se recibe firma por parte de AM, se envia a TICA</t>
  </si>
  <si>
    <t>Descripción: El usuario notifico que no se estan enviando todas las IE's con peso 0 de los utimos dos meses Solución: Se valido en el script que se estaban usando valores en duro para consultar los lotes, se procedio a hacerlos dinamicos y que coja los dos ultimos lotes</t>
  </si>
  <si>
    <t>25/4/2024 7:00:00 p. m.</t>
  </si>
  <si>
    <t>1/5/2024 7:00:00 p. m.</t>
  </si>
  <si>
    <t>26-04 @Cristian Pastor Artigas Se revisa con @Frank Macavilca y el error se debe a que han importado con datos incorrectos los datos de los pesos para la IE 280/24 \</t>
  </si>
  <si>
    <t>26-04 @Cristian Pastor Artigas Se intenta listar la IE 280/24 si sale la lista vacia se crea validacion para que liste correctamente 26-04 @Cristian Pastor Artigas Se soluciona el Ticket y se envia formato a AM para firma 29-04 @Cristian Pastor Artigas Se envia PDF firmado por AM a TICA 02/05 @Cristian Pastor Artigas Alexander envia para firmas internas 02/05 @Cristian Pastor Artigas Resuelto</t>
  </si>
  <si>
    <t>5/2/2025 7:00:00 p. m.</t>
  </si>
  <si>
    <t>8/4/2025 10:46:00 a. m.</t>
  </si>
  <si>
    <t>Michale Curi ReportaÑ</t>
  </si>
  <si>
    <t>23/2/2025 7:00:00 p. m.</t>
  </si>
  <si>
    <t>24/2/2025 7:00:00 p. m.</t>
  </si>
  <si>
    <t>Jorge Garcia Reporta: Estimado Cristian, Acaba de suceder este evento Con el vagón indicado FCCA 10168 se generó la guía 23734, luego se pesó el siguiente vagón y se genero la guía 23736 En Neogrid (y Sunat) se generó la guía 23735 con el mismo vagón Saludos @Cristian Pastor Artigas Se indexa tabla de contador</t>
  </si>
  <si>
    <t>21/4/2025 7:00:00 p. m.</t>
  </si>
  <si>
    <t>23/4/2025 7:00:00 p. m.</t>
  </si>
  <si>
    <t>19/2/2024 7:00:00 p. m.</t>
  </si>
  <si>
    <t>Descripción: Mina/despacho, vagones observado: filtros de la vista de vagones observados, debe haber dos estatus (aprobados, pendientes *) *pendientes: hasta que tenga algo pendiente de aprobar Solución: Se corrige filtro por estado, se agrega filtro para ver si hay aprobaciones pendientes: 1-Pend. Aut. Tara 2-Pend. Aut. Bruto 3-Pend. Aut. Uso Peso. Man. Tara 4-Pend. Aut. Uso Peso. Man. Bruto 5-Pend. Aut. Uso Precintos Duplicados 6-Todos</t>
  </si>
  <si>
    <t>Descripción: Guias Electronicas - Contenedores/Traslados Externos - Realizar mejora en el peso de las guías de Impala, dado que el peso está en kg Solución:</t>
  </si>
  <si>
    <t>24/3/2024 7:00:00 p. m.</t>
  </si>
  <si>
    <t>Descripción: 1.1 Store Procedures Script para crear nueva columna Modificar script de Listar,Insert, Update para soportar nueva columna 1.2 Interfaz WAPSA Modificación de javascript para mostrar los datos Modificar el código para soportar esta nueva columna agregada al modelo de datos Realizar pruebas 1.3 Notificación crear un factor nuevo para usarlo en el Peso de la IE en el WAPSA Modificar la UI para poder crear el nuevo flujo de aprobación para la IE en la diferencia de pesos es mayor que el factor definido Crear codigo para crear los flujos de aprobación Crear nuevas tablas para manejar las llaves y adjuntos Desarrollar código para las notificaciones por correo o WAPSA Realizar pruebas Ver Adjunto de Referencia</t>
  </si>
  <si>
    <t>Descripción: 1.1 Store Procedures Modificacion de scripts en la lógica 1.2 Interfaz WAPSA Modificación de javascript para mostrar los datos correctos en la vista de "Leyes" por IE Realizar pruebas Solución:</t>
  </si>
  <si>
    <t>Modulo Mina - Pesaje 1.1 Proceso Peso Tara crear script para nueva columna para aprobación para un segundo supervisor Modificar script de Listar,Insert, Update para soportar nueva columna Modificar codigo para utilizar el nuevo campo Modificar la UI para que pueda aprobar el segundo supervisor Crear nuevo proceso para enviar correo para el segundo supervisor Realizar pruebas 11/03 Se finaliza la implementacion quedando en cola para pruebas</t>
  </si>
  <si>
    <t>Modulo Lista Despacho 1.1 Nuevo proceso crear un factor nuevo para usarlo en el Peso de la IE en el WAPSA Modificar la UI para poder crear el nuevo flujo de aprobación para la IE que tiene valor en peso 0 pasado 7 días(configurable) - luego enviar un correo diario 7 am Desarrollar codigo para las notifiaciones por correo o WAPSA Realizar pruebas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</si>
</sst>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Times New Roman"/>
      <family val="1"/>
    </font>
    <font>
      <b/>
      <sz val="9"/>
      <color rgb="FFFFFFFF"/>
      <name val="Segoe UI"/>
      <family val="2"/>
    </font>
    <font>
      <sz val="9"/>
      <color theme="1"/>
      <name val="Segoe UI"/>
      <family val="2"/>
    </font>
    <font>
      <sz val="12"/>
      <color theme="1"/>
      <name val="Calibri"/>
      <family val="2"/>
    </font>
    <font>
      <sz val="9"/>
      <color theme="1"/>
      <name val="Symbol"/>
      <family val="1"/>
      <charset val="2"/>
    </font>
    <font>
      <u/>
      <sz val="11"/>
      <color theme="10"/>
      <name val="Calibri"/>
      <family val="2"/>
      <scheme val="minor"/>
    </font>
  </fonts>
  <fills count="3">
    <fill>
      <patternFill patternType="none"/>
    </fill>
    <fill>
      <patternFill patternType="gray125"/>
    </fill>
    <fill>
      <patternFill patternType="solid">
        <fgColor rgb="FF106EBE"/>
        <bgColor indexed="64"/>
      </patternFill>
    </fill>
  </fills>
  <borders count="2">
    <border>
      <left/>
      <right/>
      <top/>
      <bottom/>
      <diagonal/>
    </border>
    <border>
      <left/>
      <right style="medium">
        <color rgb="FFFFFFFF"/>
      </right>
      <top/>
      <bottom/>
      <diagonal/>
    </border>
  </borders>
  <cellStyleXfs count="2">
    <xf numFmtId="0" fontId="0" fillId="0" borderId="0"/>
    <xf numFmtId="0" fontId="6" fillId="0" borderId="0" applyNumberFormat="0" applyFill="0" applyBorder="0" applyAlignment="0" applyProtection="0"/>
  </cellStyleXfs>
  <cellXfs count="6">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6" fillId="0" borderId="1" xfId="1" applyBorder="1" applyAlignment="1">
      <alignment vertical="center" wrapText="1"/>
    </xf>
    <xf numFmtId="0" fontId="1" fillId="0" borderId="1" xfId="0" applyFont="1" applyBorder="1" applyAlignment="1">
      <alignment vertical="top" wrapText="1"/>
    </xf>
    <xf numFmtId="22" fontId="4" fillId="0" borderId="0" xfId="0" applyNumberFormat="1" applyFont="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dev.azure.com/SycSistemas/833274e7-44d5-4093-8f90-9bab7903e605/_workitems/edit/250" TargetMode="External"/><Relationship Id="rId21" Type="http://schemas.openxmlformats.org/officeDocument/2006/relationships/hyperlink" Target="https://dev.azure.com/SycSistemas/833274e7-44d5-4093-8f90-9bab7903e605/_workitems/edit/191" TargetMode="External"/><Relationship Id="rId42" Type="http://schemas.openxmlformats.org/officeDocument/2006/relationships/hyperlink" Target="https://dev.azure.com/SycSistemas/833274e7-44d5-4093-8f90-9bab7903e605/_workitems/edit/224" TargetMode="External"/><Relationship Id="rId47" Type="http://schemas.openxmlformats.org/officeDocument/2006/relationships/hyperlink" Target="https://dev.azure.com/SycSistemas/833274e7-44d5-4093-8f90-9bab7903e605/_workitems/edit/228" TargetMode="External"/><Relationship Id="rId63" Type="http://schemas.openxmlformats.org/officeDocument/2006/relationships/hyperlink" Target="https://dev.azure.com/SycSistemas/833274e7-44d5-4093-8f90-9bab7903e605/_workitems/edit/281" TargetMode="External"/><Relationship Id="rId68" Type="http://schemas.openxmlformats.org/officeDocument/2006/relationships/hyperlink" Target="https://dev.azure.com/SycSistemas/833274e7-44d5-4093-8f90-9bab7903e605/_workitems/edit/311" TargetMode="External"/><Relationship Id="rId84" Type="http://schemas.openxmlformats.org/officeDocument/2006/relationships/hyperlink" Target="https://dev.azure.com/SycSistemas/833274e7-44d5-4093-8f90-9bab7903e605/_workitems/edit/204" TargetMode="External"/><Relationship Id="rId89" Type="http://schemas.openxmlformats.org/officeDocument/2006/relationships/hyperlink" Target="https://dev.azure.com/SycSistemas/833274e7-44d5-4093-8f90-9bab7903e605/_workitems/edit/168" TargetMode="External"/><Relationship Id="rId16" Type="http://schemas.openxmlformats.org/officeDocument/2006/relationships/hyperlink" Target="https://dev.azure.com/SycSistemas/833274e7-44d5-4093-8f90-9bab7903e605/_workitems/edit/194" TargetMode="External"/><Relationship Id="rId107" Type="http://schemas.openxmlformats.org/officeDocument/2006/relationships/hyperlink" Target="https://dev.azure.com/SycSistemas/833274e7-44d5-4093-8f90-9bab7903e605/_workitems/edit/173" TargetMode="External"/><Relationship Id="rId11" Type="http://schemas.openxmlformats.org/officeDocument/2006/relationships/hyperlink" Target="https://dev.azure.com/SycSistemas/833274e7-44d5-4093-8f90-9bab7903e605/_workitems/edit/290" TargetMode="External"/><Relationship Id="rId32" Type="http://schemas.openxmlformats.org/officeDocument/2006/relationships/hyperlink" Target="https://dev.azure.com/SycSistemas/833274e7-44d5-4093-8f90-9bab7903e605/_workitems/edit/237" TargetMode="External"/><Relationship Id="rId37" Type="http://schemas.openxmlformats.org/officeDocument/2006/relationships/hyperlink" Target="https://dev.azure.com/SycSistemas/833274e7-44d5-4093-8f90-9bab7903e605/_workitems/edit/184" TargetMode="External"/><Relationship Id="rId53" Type="http://schemas.openxmlformats.org/officeDocument/2006/relationships/hyperlink" Target="https://dev.azure.com/SycSistemas/833274e7-44d5-4093-8f90-9bab7903e605/_workitems/edit/225" TargetMode="External"/><Relationship Id="rId58" Type="http://schemas.openxmlformats.org/officeDocument/2006/relationships/hyperlink" Target="https://dev.azure.com/SycSistemas/833274e7-44d5-4093-8f90-9bab7903e605/_workitems/edit/291" TargetMode="External"/><Relationship Id="rId74" Type="http://schemas.openxmlformats.org/officeDocument/2006/relationships/hyperlink" Target="https://dev.azure.com/SycSistemas/833274e7-44d5-4093-8f90-9bab7903e605/_workitems/edit/234" TargetMode="External"/><Relationship Id="rId79" Type="http://schemas.openxmlformats.org/officeDocument/2006/relationships/hyperlink" Target="https://dev.azure.com/SycSistemas/833274e7-44d5-4093-8f90-9bab7903e605/_workitems/edit/284" TargetMode="External"/><Relationship Id="rId102" Type="http://schemas.openxmlformats.org/officeDocument/2006/relationships/hyperlink" Target="https://dev.azure.com/SycSistemas/833274e7-44d5-4093-8f90-9bab7903e605/_workitems/edit/212" TargetMode="External"/><Relationship Id="rId5" Type="http://schemas.openxmlformats.org/officeDocument/2006/relationships/hyperlink" Target="https://dev.azure.com/SycSistemas/833274e7-44d5-4093-8f90-9bab7903e605/_workitems/edit/169" TargetMode="External"/><Relationship Id="rId90" Type="http://schemas.openxmlformats.org/officeDocument/2006/relationships/hyperlink" Target="https://dev.azure.com/SycSistemas/833274e7-44d5-4093-8f90-9bab7903e605/_workitems/edit/172" TargetMode="External"/><Relationship Id="rId95" Type="http://schemas.openxmlformats.org/officeDocument/2006/relationships/hyperlink" Target="https://dev.azure.com/SycSistemas/833274e7-44d5-4093-8f90-9bab7903e605/_workitems/edit/198" TargetMode="External"/><Relationship Id="rId22" Type="http://schemas.openxmlformats.org/officeDocument/2006/relationships/hyperlink" Target="https://dev.azure.com/SycSistemas/833274e7-44d5-4093-8f90-9bab7903e605/_workitems/edit/189" TargetMode="External"/><Relationship Id="rId27" Type="http://schemas.openxmlformats.org/officeDocument/2006/relationships/hyperlink" Target="https://dev.azure.com/SycSistemas/833274e7-44d5-4093-8f90-9bab7903e605/_workitems/edit/178" TargetMode="External"/><Relationship Id="rId43" Type="http://schemas.openxmlformats.org/officeDocument/2006/relationships/hyperlink" Target="https://dev.azure.com/SycSistemas/833274e7-44d5-4093-8f90-9bab7903e605/_workitems/edit/227" TargetMode="External"/><Relationship Id="rId48" Type="http://schemas.openxmlformats.org/officeDocument/2006/relationships/hyperlink" Target="https://dev.azure.com/SycSistemas/833274e7-44d5-4093-8f90-9bab7903e605/_workitems/edit/219" TargetMode="External"/><Relationship Id="rId64" Type="http://schemas.openxmlformats.org/officeDocument/2006/relationships/hyperlink" Target="https://dev.azure.com/SycSistemas/833274e7-44d5-4093-8f90-9bab7903e605/_workitems/edit/282" TargetMode="External"/><Relationship Id="rId69" Type="http://schemas.openxmlformats.org/officeDocument/2006/relationships/hyperlink" Target="https://dev.azure.com/SycSistemas/833274e7-44d5-4093-8f90-9bab7903e605/_workitems/edit/309" TargetMode="External"/><Relationship Id="rId80" Type="http://schemas.openxmlformats.org/officeDocument/2006/relationships/hyperlink" Target="https://dev.azure.com/SycSistemas/833274e7-44d5-4093-8f90-9bab7903e605/_workitems/edit/305" TargetMode="External"/><Relationship Id="rId85" Type="http://schemas.openxmlformats.org/officeDocument/2006/relationships/hyperlink" Target="https://dev.azure.com/SycSistemas/833274e7-44d5-4093-8f90-9bab7903e605/_workitems/edit/205" TargetMode="External"/><Relationship Id="rId12" Type="http://schemas.openxmlformats.org/officeDocument/2006/relationships/hyperlink" Target="https://dev.azure.com/SycSistemas/833274e7-44d5-4093-8f90-9bab7903e605/_workitems/edit/213" TargetMode="External"/><Relationship Id="rId17" Type="http://schemas.openxmlformats.org/officeDocument/2006/relationships/hyperlink" Target="https://dev.azure.com/SycSistemas/833274e7-44d5-4093-8f90-9bab7903e605/_workitems/edit/223" TargetMode="External"/><Relationship Id="rId33" Type="http://schemas.openxmlformats.org/officeDocument/2006/relationships/hyperlink" Target="https://dev.azure.com/SycSistemas/833274e7-44d5-4093-8f90-9bab7903e605/_workitems/edit/236" TargetMode="External"/><Relationship Id="rId38" Type="http://schemas.openxmlformats.org/officeDocument/2006/relationships/hyperlink" Target="https://dev.azure.com/SycSistemas/833274e7-44d5-4093-8f90-9bab7903e605/_workitems/edit/182" TargetMode="External"/><Relationship Id="rId59" Type="http://schemas.openxmlformats.org/officeDocument/2006/relationships/hyperlink" Target="https://dev.azure.com/SycSistemas/833274e7-44d5-4093-8f90-9bab7903e605/_workitems/edit/296" TargetMode="External"/><Relationship Id="rId103" Type="http://schemas.openxmlformats.org/officeDocument/2006/relationships/hyperlink" Target="https://dev.azure.com/SycSistemas/833274e7-44d5-4093-8f90-9bab7903e605/_workitems/edit/211" TargetMode="External"/><Relationship Id="rId20" Type="http://schemas.openxmlformats.org/officeDocument/2006/relationships/hyperlink" Target="https://dev.azure.com/SycSistemas/833274e7-44d5-4093-8f90-9bab7903e605/_workitems/edit/183" TargetMode="External"/><Relationship Id="rId41" Type="http://schemas.openxmlformats.org/officeDocument/2006/relationships/hyperlink" Target="https://dev.azure.com/SycSistemas/833274e7-44d5-4093-8f90-9bab7903e605/_workitems/edit/222" TargetMode="External"/><Relationship Id="rId54" Type="http://schemas.openxmlformats.org/officeDocument/2006/relationships/hyperlink" Target="https://dev.azure.com/SycSistemas/833274e7-44d5-4093-8f90-9bab7903e605/_workitems/edit/324" TargetMode="External"/><Relationship Id="rId62" Type="http://schemas.openxmlformats.org/officeDocument/2006/relationships/hyperlink" Target="https://dev.azure.com/SycSistemas/833274e7-44d5-4093-8f90-9bab7903e605/_workitems/edit/257" TargetMode="External"/><Relationship Id="rId70" Type="http://schemas.openxmlformats.org/officeDocument/2006/relationships/hyperlink" Target="https://dev.azure.com/SycSistemas/833274e7-44d5-4093-8f90-9bab7903e605/_workitems/edit/312" TargetMode="External"/><Relationship Id="rId75" Type="http://schemas.openxmlformats.org/officeDocument/2006/relationships/hyperlink" Target="https://dev.azure.com/SycSistemas/833274e7-44d5-4093-8f90-9bab7903e605/_workitems/edit/247" TargetMode="External"/><Relationship Id="rId83" Type="http://schemas.openxmlformats.org/officeDocument/2006/relationships/hyperlink" Target="https://dev.azure.com/SycSistemas/833274e7-44d5-4093-8f90-9bab7903e605/_workitems/edit/199" TargetMode="External"/><Relationship Id="rId88" Type="http://schemas.openxmlformats.org/officeDocument/2006/relationships/hyperlink" Target="https://dev.azure.com/SycSistemas/833274e7-44d5-4093-8f90-9bab7903e605/_workitems/edit/206" TargetMode="External"/><Relationship Id="rId91" Type="http://schemas.openxmlformats.org/officeDocument/2006/relationships/hyperlink" Target="https://dev.azure.com/SycSistemas/833274e7-44d5-4093-8f90-9bab7903e605/_workitems/edit/170" TargetMode="External"/><Relationship Id="rId96" Type="http://schemas.openxmlformats.org/officeDocument/2006/relationships/hyperlink" Target="https://dev.azure.com/SycSistemas/833274e7-44d5-4093-8f90-9bab7903e605/_workitems/edit/164" TargetMode="External"/><Relationship Id="rId1" Type="http://schemas.openxmlformats.org/officeDocument/2006/relationships/hyperlink" Target="https://dev.azure.com/SycSistemas/833274e7-44d5-4093-8f90-9bab7903e605/_workitems/edit/226" TargetMode="External"/><Relationship Id="rId6" Type="http://schemas.openxmlformats.org/officeDocument/2006/relationships/hyperlink" Target="https://dev.azure.com/SycSistemas/833274e7-44d5-4093-8f90-9bab7903e605/_workitems/edit/216" TargetMode="External"/><Relationship Id="rId15" Type="http://schemas.openxmlformats.org/officeDocument/2006/relationships/hyperlink" Target="https://dev.azure.com/SycSistemas/833274e7-44d5-4093-8f90-9bab7903e605/_workitems/edit/248" TargetMode="External"/><Relationship Id="rId23" Type="http://schemas.openxmlformats.org/officeDocument/2006/relationships/hyperlink" Target="https://dev.azure.com/SycSistemas/833274e7-44d5-4093-8f90-9bab7903e605/_workitems/edit/185" TargetMode="External"/><Relationship Id="rId28" Type="http://schemas.openxmlformats.org/officeDocument/2006/relationships/hyperlink" Target="https://dev.azure.com/SycSistemas/833274e7-44d5-4093-8f90-9bab7903e605/_workitems/edit/186" TargetMode="External"/><Relationship Id="rId36" Type="http://schemas.openxmlformats.org/officeDocument/2006/relationships/hyperlink" Target="https://dev.azure.com/SycSistemas/833274e7-44d5-4093-8f90-9bab7903e605/_workitems/edit/192" TargetMode="External"/><Relationship Id="rId49" Type="http://schemas.openxmlformats.org/officeDocument/2006/relationships/hyperlink" Target="https://dev.azure.com/SycSistemas/833274e7-44d5-4093-8f90-9bab7903e605/_git/WAPSA?version=GBcambios/filtra_lista_despacho" TargetMode="External"/><Relationship Id="rId57" Type="http://schemas.openxmlformats.org/officeDocument/2006/relationships/hyperlink" Target="https://dev.azure.com/SycSistemas/833274e7-44d5-4093-8f90-9bab7903e605/_workitems/edit/268" TargetMode="External"/><Relationship Id="rId106" Type="http://schemas.openxmlformats.org/officeDocument/2006/relationships/hyperlink" Target="https://dev.azure.com/SycSistemas/833274e7-44d5-4093-8f90-9bab7903e605/_workitems/edit/167" TargetMode="External"/><Relationship Id="rId10" Type="http://schemas.openxmlformats.org/officeDocument/2006/relationships/hyperlink" Target="https://dev.azure.com/SycSistemas/833274e7-44d5-4093-8f90-9bab7903e605/_workitems/edit/316" TargetMode="External"/><Relationship Id="rId31" Type="http://schemas.openxmlformats.org/officeDocument/2006/relationships/hyperlink" Target="https://dev.azure.com/SycSistemas/833274e7-44d5-4093-8f90-9bab7903e605/_workitems/edit/238" TargetMode="External"/><Relationship Id="rId44" Type="http://schemas.openxmlformats.org/officeDocument/2006/relationships/hyperlink" Target="https://dev.azure.com/SycSistemas/833274e7-44d5-4093-8f90-9bab7903e605/_workitems/edit/233" TargetMode="External"/><Relationship Id="rId52" Type="http://schemas.openxmlformats.org/officeDocument/2006/relationships/hyperlink" Target="https://dev.azure.com/SycSistemas/833274e7-44d5-4093-8f90-9bab7903e605/_workitems/edit/244" TargetMode="External"/><Relationship Id="rId60" Type="http://schemas.openxmlformats.org/officeDocument/2006/relationships/hyperlink" Target="https://dev.azure.com/SycSistemas/833274e7-44d5-4093-8f90-9bab7903e605/_workitems/edit/297" TargetMode="External"/><Relationship Id="rId65" Type="http://schemas.openxmlformats.org/officeDocument/2006/relationships/hyperlink" Target="https://dev.azure.com/SycSistemas/833274e7-44d5-4093-8f90-9bab7903e605/_workitems/edit/255" TargetMode="External"/><Relationship Id="rId73" Type="http://schemas.openxmlformats.org/officeDocument/2006/relationships/hyperlink" Target="https://dev.azure.com/SycSistemas/833274e7-44d5-4093-8f90-9bab7903e605/_workitems/edit/310" TargetMode="External"/><Relationship Id="rId78" Type="http://schemas.openxmlformats.org/officeDocument/2006/relationships/hyperlink" Target="https://dev.azure.com/SycSistemas/833274e7-44d5-4093-8f90-9bab7903e605/_workitems/edit/276" TargetMode="External"/><Relationship Id="rId81" Type="http://schemas.openxmlformats.org/officeDocument/2006/relationships/hyperlink" Target="https://dev.azure.com/SycSistemas/833274e7-44d5-4093-8f90-9bab7903e605/_workitems/edit/325" TargetMode="External"/><Relationship Id="rId86" Type="http://schemas.openxmlformats.org/officeDocument/2006/relationships/hyperlink" Target="https://dev.azure.com/SycSistemas/833274e7-44d5-4093-8f90-9bab7903e605/_workitems/edit/208" TargetMode="External"/><Relationship Id="rId94" Type="http://schemas.openxmlformats.org/officeDocument/2006/relationships/hyperlink" Target="https://dev.azure.com/SycSistemas/833274e7-44d5-4093-8f90-9bab7903e605/_workitems/edit/201" TargetMode="External"/><Relationship Id="rId99" Type="http://schemas.openxmlformats.org/officeDocument/2006/relationships/hyperlink" Target="https://dev.azure.com/SycSistemas/833274e7-44d5-4093-8f90-9bab7903e605/_workitems/edit/174" TargetMode="External"/><Relationship Id="rId101" Type="http://schemas.openxmlformats.org/officeDocument/2006/relationships/hyperlink" Target="https://dev.azure.com/SycSistemas/833274e7-44d5-4093-8f90-9bab7903e605/_workitems/edit/231" TargetMode="External"/><Relationship Id="rId4" Type="http://schemas.openxmlformats.org/officeDocument/2006/relationships/hyperlink" Target="https://dev.azure.com/SycSistemas/833274e7-44d5-4093-8f90-9bab7903e605/_workitems/edit/203" TargetMode="External"/><Relationship Id="rId9" Type="http://schemas.openxmlformats.org/officeDocument/2006/relationships/hyperlink" Target="https://dev.azure.com/SycSistemas/833274e7-44d5-4093-8f90-9bab7903e605/_workitems/edit/285" TargetMode="External"/><Relationship Id="rId13" Type="http://schemas.openxmlformats.org/officeDocument/2006/relationships/hyperlink" Target="https://dev.azure.com/SycSistemas/833274e7-44d5-4093-8f90-9bab7903e605/_workitems/edit/207" TargetMode="External"/><Relationship Id="rId18" Type="http://schemas.openxmlformats.org/officeDocument/2006/relationships/hyperlink" Target="https://sdk.wialon.com/wiki/en/sidebar/remoteapi/apiref/report/cleanup_result" TargetMode="External"/><Relationship Id="rId39" Type="http://schemas.openxmlformats.org/officeDocument/2006/relationships/hyperlink" Target="https://dev.azure.com/SycSistemas/833274e7-44d5-4093-8f90-9bab7903e605/_workitems/edit/179" TargetMode="External"/><Relationship Id="rId34" Type="http://schemas.openxmlformats.org/officeDocument/2006/relationships/hyperlink" Target="https://dev.azure.com/SycSistemas/833274e7-44d5-4093-8f90-9bab7903e605/_workitems/edit/187" TargetMode="External"/><Relationship Id="rId50" Type="http://schemas.openxmlformats.org/officeDocument/2006/relationships/hyperlink" Target="https://dev.azure.com/SycSistemas/833274e7-44d5-4093-8f90-9bab7903e605/_workitems/edit/230" TargetMode="External"/><Relationship Id="rId55" Type="http://schemas.openxmlformats.org/officeDocument/2006/relationships/hyperlink" Target="https://dev.azure.com/SycSistemas/833274e7-44d5-4093-8f90-9bab7903e605/_workitems/edit/254" TargetMode="External"/><Relationship Id="rId76" Type="http://schemas.openxmlformats.org/officeDocument/2006/relationships/hyperlink" Target="https://dev.azure.com/SycSistemas/833274e7-44d5-4093-8f90-9bab7903e605/_workitems/edit/300" TargetMode="External"/><Relationship Id="rId97" Type="http://schemas.openxmlformats.org/officeDocument/2006/relationships/hyperlink" Target="https://dev.azure.com/SycSistemas/833274e7-44d5-4093-8f90-9bab7903e605/_workitems/edit/165" TargetMode="External"/><Relationship Id="rId104" Type="http://schemas.openxmlformats.org/officeDocument/2006/relationships/hyperlink" Target="https://dev.azure.com/SycSistemas/833274e7-44d5-4093-8f90-9bab7903e605/_workitems/edit/196" TargetMode="External"/><Relationship Id="rId7" Type="http://schemas.openxmlformats.org/officeDocument/2006/relationships/hyperlink" Target="https://dev.azure.com/SycSistemas/833274e7-44d5-4093-8f90-9bab7903e605/_workitems/edit/235" TargetMode="External"/><Relationship Id="rId71" Type="http://schemas.openxmlformats.org/officeDocument/2006/relationships/hyperlink" Target="https://dev.azure.com/SycSistemas/833274e7-44d5-4093-8f90-9bab7903e605/_workitems/edit/315" TargetMode="External"/><Relationship Id="rId92" Type="http://schemas.openxmlformats.org/officeDocument/2006/relationships/hyperlink" Target="https://dev.azure.com/SycSistemas/833274e7-44d5-4093-8f90-9bab7903e605/_workitems/edit/209" TargetMode="External"/><Relationship Id="rId2" Type="http://schemas.openxmlformats.org/officeDocument/2006/relationships/hyperlink" Target="https://dev.azure.com/SycSistemas/833274e7-44d5-4093-8f90-9bab7903e605/_workitems/edit/241" TargetMode="External"/><Relationship Id="rId29" Type="http://schemas.openxmlformats.org/officeDocument/2006/relationships/hyperlink" Target="https://dev.azure.com/SycSistemas/833274e7-44d5-4093-8f90-9bab7903e605/_workitems/edit/239" TargetMode="External"/><Relationship Id="rId24" Type="http://schemas.openxmlformats.org/officeDocument/2006/relationships/hyperlink" Target="https://dev.azure.com/SycSistemas/833274e7-44d5-4093-8f90-9bab7903e605/_workitems/edit/218" TargetMode="External"/><Relationship Id="rId40" Type="http://schemas.openxmlformats.org/officeDocument/2006/relationships/hyperlink" Target="https://dev.azure.com/SycSistemas/833274e7-44d5-4093-8f90-9bab7903e605/_workitems/edit/166" TargetMode="External"/><Relationship Id="rId45" Type="http://schemas.openxmlformats.org/officeDocument/2006/relationships/hyperlink" Target="https://dev.azure.com/SycSistemas/833274e7-44d5-4093-8f90-9bab7903e605/_workitems/edit/229" TargetMode="External"/><Relationship Id="rId66" Type="http://schemas.openxmlformats.org/officeDocument/2006/relationships/hyperlink" Target="https://dev.azure.com/SycSistemas/833274e7-44d5-4093-8f90-9bab7903e605/_workitems/edit/242" TargetMode="External"/><Relationship Id="rId87" Type="http://schemas.openxmlformats.org/officeDocument/2006/relationships/hyperlink" Target="https://dev.azure.com/SycSistemas/833274e7-44d5-4093-8f90-9bab7903e605/_workitems/edit/215" TargetMode="External"/><Relationship Id="rId61" Type="http://schemas.openxmlformats.org/officeDocument/2006/relationships/hyperlink" Target="https://dev.azure.com/SycSistemas/833274e7-44d5-4093-8f90-9bab7903e605/_workitems/edit/256" TargetMode="External"/><Relationship Id="rId82" Type="http://schemas.openxmlformats.org/officeDocument/2006/relationships/hyperlink" Target="https://dev.azure.com/SycSistemas/833274e7-44d5-4093-8f90-9bab7903e605/_workitems/edit/214" TargetMode="External"/><Relationship Id="rId19" Type="http://schemas.openxmlformats.org/officeDocument/2006/relationships/hyperlink" Target="https://dev.azure.com/SycSistemas/833274e7-44d5-4093-8f90-9bab7903e605/_workitems/edit/190" TargetMode="External"/><Relationship Id="rId14" Type="http://schemas.openxmlformats.org/officeDocument/2006/relationships/hyperlink" Target="https://dev.azure.com/SycSistemas/833274e7-44d5-4093-8f90-9bab7903e605/_workitems/edit/200" TargetMode="External"/><Relationship Id="rId30" Type="http://schemas.openxmlformats.org/officeDocument/2006/relationships/hyperlink" Target="https://dev.azure.com/SycSistemas/WAPSA/_boards/board/t/WAPSA%20Team/Stories/?workitem=235" TargetMode="External"/><Relationship Id="rId35" Type="http://schemas.openxmlformats.org/officeDocument/2006/relationships/hyperlink" Target="https://dev.azure.com/SycSistemas/833274e7-44d5-4093-8f90-9bab7903e605/_workitems/edit/193" TargetMode="External"/><Relationship Id="rId56" Type="http://schemas.openxmlformats.org/officeDocument/2006/relationships/hyperlink" Target="https://dev.azure.com/SycSistemas/WAPSA/_boards/board/t/WAPSA%20Team/Stories/?workitem=257" TargetMode="External"/><Relationship Id="rId77" Type="http://schemas.openxmlformats.org/officeDocument/2006/relationships/hyperlink" Target="https://dev.azure.com/SycSistemas/833274e7-44d5-4093-8f90-9bab7903e605/_workitems/edit/292" TargetMode="External"/><Relationship Id="rId100" Type="http://schemas.openxmlformats.org/officeDocument/2006/relationships/hyperlink" Target="https://dev.azure.com/SycSistemas/833274e7-44d5-4093-8f90-9bab7903e605/_workitems/edit/162" TargetMode="External"/><Relationship Id="rId105" Type="http://schemas.openxmlformats.org/officeDocument/2006/relationships/hyperlink" Target="https://dev.azure.com/SycSistemas/833274e7-44d5-4093-8f90-9bab7903e605/_workitems/edit/171" TargetMode="External"/><Relationship Id="rId8" Type="http://schemas.openxmlformats.org/officeDocument/2006/relationships/hyperlink" Target="https://dev.azure.com/SycSistemas/833274e7-44d5-4093-8f90-9bab7903e605/_workitems/edit/245" TargetMode="External"/><Relationship Id="rId51" Type="http://schemas.openxmlformats.org/officeDocument/2006/relationships/hyperlink" Target="https://dev.azure.com/SycSistemas/833274e7-44d5-4093-8f90-9bab7903e605/_workitems/edit/243" TargetMode="External"/><Relationship Id="rId72" Type="http://schemas.openxmlformats.org/officeDocument/2006/relationships/hyperlink" Target="https://dev.azure.com/SycSistemas/833274e7-44d5-4093-8f90-9bab7903e605/_workitems/edit/246" TargetMode="External"/><Relationship Id="rId93" Type="http://schemas.openxmlformats.org/officeDocument/2006/relationships/hyperlink" Target="https://dev.azure.com/SycSistemas/833274e7-44d5-4093-8f90-9bab7903e605/_workitems/edit/202" TargetMode="External"/><Relationship Id="rId98" Type="http://schemas.openxmlformats.org/officeDocument/2006/relationships/hyperlink" Target="https://dev.azure.com/SycSistemas/833274e7-44d5-4093-8f90-9bab7903e605/_workitems/edit/195" TargetMode="External"/><Relationship Id="rId3" Type="http://schemas.openxmlformats.org/officeDocument/2006/relationships/hyperlink" Target="https://dev.azure.com/SycSistemas/833274e7-44d5-4093-8f90-9bab7903e605/_workitems/edit/314" TargetMode="External"/><Relationship Id="rId25" Type="http://schemas.openxmlformats.org/officeDocument/2006/relationships/hyperlink" Target="https://dev.azure.com/SycSistemas/833274e7-44d5-4093-8f90-9bab7903e605/_workitems/edit/240" TargetMode="External"/><Relationship Id="rId46" Type="http://schemas.openxmlformats.org/officeDocument/2006/relationships/hyperlink" Target="https://dev.azure.com/SycSistemas/833274e7-44d5-4093-8f90-9bab7903e605/_workitems/edit/232" TargetMode="External"/><Relationship Id="rId67" Type="http://schemas.openxmlformats.org/officeDocument/2006/relationships/hyperlink" Target="https://dev.azure.com/SycSistemas/833274e7-44d5-4093-8f90-9bab7903e605/_workitems/edit/3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1166-1FCD-4C26-8F39-D5452A952BC4}">
  <dimension ref="A1:C11"/>
  <sheetViews>
    <sheetView workbookViewId="0">
      <selection activeCell="E9" sqref="E9"/>
    </sheetView>
  </sheetViews>
  <sheetFormatPr baseColWidth="10" defaultColWidth="23.42578125" defaultRowHeight="15" x14ac:dyDescent="0.25"/>
  <cols>
    <col min="1" max="1" width="4" bestFit="1" customWidth="1"/>
    <col min="2" max="2" width="24.7109375" bestFit="1" customWidth="1"/>
    <col min="3" max="3" width="14" bestFit="1" customWidth="1"/>
  </cols>
  <sheetData>
    <row r="1" spans="1:3" ht="24" x14ac:dyDescent="0.25">
      <c r="A1" s="1" t="s">
        <v>0</v>
      </c>
      <c r="B1" s="1" t="s">
        <v>1</v>
      </c>
      <c r="C1" s="1" t="s">
        <v>2</v>
      </c>
    </row>
    <row r="2" spans="1:3" x14ac:dyDescent="0.25">
      <c r="A2">
        <v>251</v>
      </c>
      <c r="B2" t="s">
        <v>72</v>
      </c>
      <c r="C2" t="s">
        <v>16</v>
      </c>
    </row>
    <row r="3" spans="1:3" x14ac:dyDescent="0.25">
      <c r="A3">
        <v>252</v>
      </c>
      <c r="B3" t="s">
        <v>41</v>
      </c>
      <c r="C3" t="s">
        <v>16</v>
      </c>
    </row>
    <row r="4" spans="1:3" x14ac:dyDescent="0.25">
      <c r="A4">
        <v>253</v>
      </c>
      <c r="B4" t="s">
        <v>15</v>
      </c>
      <c r="C4" t="s">
        <v>16</v>
      </c>
    </row>
    <row r="5" spans="1:3" x14ac:dyDescent="0.25">
      <c r="A5">
        <v>210</v>
      </c>
      <c r="B5" t="s">
        <v>94</v>
      </c>
      <c r="C5" t="s">
        <v>16</v>
      </c>
    </row>
    <row r="6" spans="1:3" x14ac:dyDescent="0.25">
      <c r="A6">
        <v>412</v>
      </c>
      <c r="B6" t="s">
        <v>291</v>
      </c>
      <c r="C6" t="s">
        <v>16</v>
      </c>
    </row>
    <row r="7" spans="1:3" x14ac:dyDescent="0.25">
      <c r="A7">
        <v>161</v>
      </c>
      <c r="B7" t="s">
        <v>138</v>
      </c>
      <c r="C7" t="s">
        <v>16</v>
      </c>
    </row>
    <row r="8" spans="1:3" x14ac:dyDescent="0.25">
      <c r="A8">
        <v>175</v>
      </c>
      <c r="B8" t="s">
        <v>135</v>
      </c>
      <c r="C8" t="s">
        <v>16</v>
      </c>
    </row>
    <row r="9" spans="1:3" x14ac:dyDescent="0.25">
      <c r="A9">
        <v>177</v>
      </c>
      <c r="B9" t="s">
        <v>131</v>
      </c>
      <c r="C9" t="s">
        <v>16</v>
      </c>
    </row>
    <row r="10" spans="1:3" x14ac:dyDescent="0.25">
      <c r="A10">
        <v>181</v>
      </c>
      <c r="B10" t="s">
        <v>121</v>
      </c>
      <c r="C10" t="s">
        <v>16</v>
      </c>
    </row>
    <row r="11" spans="1:3" x14ac:dyDescent="0.25">
      <c r="A11">
        <v>457</v>
      </c>
      <c r="B11" t="s">
        <v>471</v>
      </c>
      <c r="C1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E505-DDB9-4F0E-A6F2-639E8D47137B}">
  <dimension ref="A1:O104"/>
  <sheetViews>
    <sheetView workbookViewId="0">
      <selection activeCell="O43" sqref="O43"/>
    </sheetView>
  </sheetViews>
  <sheetFormatPr baseColWidth="10" defaultRowHeight="15" x14ac:dyDescent="0.25"/>
  <cols>
    <col min="1" max="1" width="7.42578125" bestFit="1" customWidth="1"/>
    <col min="2" max="2" width="47.28515625" customWidth="1"/>
    <col min="3" max="3" width="14.28515625" bestFit="1" customWidth="1"/>
    <col min="4" max="4" width="27.42578125" customWidth="1"/>
    <col min="5" max="5" width="20.28515625" customWidth="1"/>
    <col min="6" max="6" width="11.42578125" bestFit="1" customWidth="1"/>
    <col min="7" max="7" width="9.140625" bestFit="1" customWidth="1"/>
    <col min="8" max="9" width="17.7109375" bestFit="1" customWidth="1"/>
    <col min="10" max="10" width="13.5703125" bestFit="1" customWidth="1"/>
    <col min="11" max="11" width="12.140625" bestFit="1" customWidth="1"/>
    <col min="12" max="12" width="13.85546875" bestFit="1" customWidth="1"/>
    <col min="13" max="13" width="15" bestFit="1" customWidth="1"/>
    <col min="14" max="14" width="68" customWidth="1"/>
    <col min="15" max="15" width="24.140625" customWidth="1"/>
  </cols>
  <sheetData>
    <row r="1" spans="1:15" ht="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0" x14ac:dyDescent="0.25">
      <c r="A2" s="3">
        <v>226</v>
      </c>
      <c r="B2" s="2" t="s">
        <v>18</v>
      </c>
      <c r="C2" s="2" t="s">
        <v>19</v>
      </c>
      <c r="D2" s="2" t="s">
        <v>20</v>
      </c>
      <c r="E2" s="2" t="s">
        <v>21</v>
      </c>
      <c r="F2" s="2" t="s">
        <v>22</v>
      </c>
      <c r="G2" s="4"/>
      <c r="H2" s="5">
        <v>45397</v>
      </c>
      <c r="I2" s="5">
        <v>45416</v>
      </c>
      <c r="J2" s="4"/>
      <c r="K2" s="2">
        <v>105868</v>
      </c>
      <c r="L2" s="2">
        <v>336</v>
      </c>
      <c r="M2" s="2" t="s">
        <v>23</v>
      </c>
      <c r="N2" s="2" t="s">
        <v>24</v>
      </c>
      <c r="O2" s="2" t="s">
        <v>15</v>
      </c>
    </row>
    <row r="3" spans="1:15" ht="60" x14ac:dyDescent="0.25">
      <c r="A3" s="3">
        <v>241</v>
      </c>
      <c r="B3" s="2" t="s">
        <v>25</v>
      </c>
      <c r="C3" s="2" t="s">
        <v>19</v>
      </c>
      <c r="D3" s="2" t="s">
        <v>26</v>
      </c>
      <c r="E3" s="2" t="s">
        <v>27</v>
      </c>
      <c r="F3" s="2" t="s">
        <v>22</v>
      </c>
      <c r="G3" s="4"/>
      <c r="H3" s="5">
        <v>45428</v>
      </c>
      <c r="I3" s="5">
        <v>45440</v>
      </c>
      <c r="J3" s="2" t="s">
        <v>28</v>
      </c>
      <c r="K3" s="2">
        <v>107784</v>
      </c>
      <c r="L3" s="2">
        <v>348</v>
      </c>
      <c r="M3" s="2" t="s">
        <v>23</v>
      </c>
      <c r="N3" s="2" t="s">
        <v>29</v>
      </c>
      <c r="O3" s="2" t="s">
        <v>15</v>
      </c>
    </row>
    <row r="4" spans="1:15" ht="24" x14ac:dyDescent="0.25">
      <c r="A4" s="3">
        <v>314</v>
      </c>
      <c r="B4" s="2" t="s">
        <v>30</v>
      </c>
      <c r="C4" s="2" t="s">
        <v>19</v>
      </c>
      <c r="D4" s="2" t="s">
        <v>31</v>
      </c>
      <c r="E4" s="2" t="s">
        <v>21</v>
      </c>
      <c r="F4" s="2" t="s">
        <v>22</v>
      </c>
      <c r="G4" s="4"/>
      <c r="H4" s="5">
        <v>45540</v>
      </c>
      <c r="I4" s="5">
        <v>45540</v>
      </c>
      <c r="J4" s="2" t="s">
        <v>32</v>
      </c>
      <c r="K4" s="2">
        <v>118265</v>
      </c>
      <c r="L4" s="2">
        <v>377</v>
      </c>
      <c r="M4" s="2" t="s">
        <v>23</v>
      </c>
      <c r="N4" s="2" t="s">
        <v>33</v>
      </c>
      <c r="O4" s="2" t="s">
        <v>15</v>
      </c>
    </row>
    <row r="5" spans="1:15" ht="96" x14ac:dyDescent="0.25">
      <c r="A5" s="3">
        <v>203</v>
      </c>
      <c r="B5" s="2" t="s">
        <v>34</v>
      </c>
      <c r="C5" s="2" t="s">
        <v>19</v>
      </c>
      <c r="D5" s="2" t="s">
        <v>35</v>
      </c>
      <c r="E5" s="4"/>
      <c r="F5" s="2" t="s">
        <v>22</v>
      </c>
      <c r="G5" s="4"/>
      <c r="H5" s="5">
        <v>45331</v>
      </c>
      <c r="I5" s="4"/>
      <c r="J5" s="2" t="s">
        <v>28</v>
      </c>
      <c r="K5" s="2">
        <v>100715</v>
      </c>
      <c r="L5" s="2">
        <v>322</v>
      </c>
      <c r="M5" s="2" t="s">
        <v>23</v>
      </c>
      <c r="N5" s="2" t="s">
        <v>36</v>
      </c>
      <c r="O5" s="2" t="s">
        <v>15</v>
      </c>
    </row>
    <row r="6" spans="1:15" ht="96" x14ac:dyDescent="0.25">
      <c r="A6" s="3">
        <v>169</v>
      </c>
      <c r="B6" s="2" t="s">
        <v>37</v>
      </c>
      <c r="C6" s="2" t="s">
        <v>19</v>
      </c>
      <c r="D6" s="2" t="s">
        <v>35</v>
      </c>
      <c r="E6" s="2" t="s">
        <v>27</v>
      </c>
      <c r="F6" s="2" t="s">
        <v>22</v>
      </c>
      <c r="G6" s="4"/>
      <c r="H6" s="5">
        <v>45315</v>
      </c>
      <c r="I6" s="4"/>
      <c r="J6" s="2" t="s">
        <v>15</v>
      </c>
      <c r="K6" s="4"/>
      <c r="L6" s="2">
        <v>298</v>
      </c>
      <c r="M6" s="2" t="s">
        <v>23</v>
      </c>
      <c r="N6" s="2" t="s">
        <v>38</v>
      </c>
      <c r="O6" s="2" t="s">
        <v>15</v>
      </c>
    </row>
    <row r="7" spans="1:15" ht="24" x14ac:dyDescent="0.25">
      <c r="A7" s="3">
        <v>216</v>
      </c>
      <c r="B7" s="2" t="s">
        <v>39</v>
      </c>
      <c r="C7" s="2" t="s">
        <v>19</v>
      </c>
      <c r="D7" s="2" t="s">
        <v>20</v>
      </c>
      <c r="E7" s="2" t="s">
        <v>27</v>
      </c>
      <c r="F7" s="2" t="s">
        <v>22</v>
      </c>
      <c r="G7" s="4"/>
      <c r="H7" s="5">
        <v>45370</v>
      </c>
      <c r="I7" s="4"/>
      <c r="J7" s="2" t="s">
        <v>28</v>
      </c>
      <c r="K7" s="2">
        <v>103122</v>
      </c>
      <c r="L7" s="2">
        <v>328</v>
      </c>
      <c r="M7" s="2" t="s">
        <v>23</v>
      </c>
      <c r="N7" s="2" t="s">
        <v>40</v>
      </c>
      <c r="O7" s="2" t="s">
        <v>15</v>
      </c>
    </row>
    <row r="8" spans="1:15" ht="144" x14ac:dyDescent="0.25">
      <c r="A8" s="3">
        <v>235</v>
      </c>
      <c r="B8" s="2" t="s">
        <v>42</v>
      </c>
      <c r="C8" s="2" t="s">
        <v>19</v>
      </c>
      <c r="D8" s="2" t="s">
        <v>26</v>
      </c>
      <c r="E8" s="2" t="s">
        <v>27</v>
      </c>
      <c r="F8" s="2" t="s">
        <v>22</v>
      </c>
      <c r="G8" s="2" t="s">
        <v>43</v>
      </c>
      <c r="H8" s="5">
        <v>45415</v>
      </c>
      <c r="I8" s="5">
        <v>45432</v>
      </c>
      <c r="J8" s="2" t="s">
        <v>32</v>
      </c>
      <c r="K8" s="4"/>
      <c r="L8" s="2">
        <v>345</v>
      </c>
      <c r="M8" s="2" t="s">
        <v>23</v>
      </c>
      <c r="N8" s="2" t="s">
        <v>44</v>
      </c>
      <c r="O8" s="2" t="s">
        <v>41</v>
      </c>
    </row>
    <row r="9" spans="1:15" ht="108" x14ac:dyDescent="0.25">
      <c r="A9" s="3">
        <v>245</v>
      </c>
      <c r="B9" s="2" t="s">
        <v>45</v>
      </c>
      <c r="C9" s="2" t="s">
        <v>19</v>
      </c>
      <c r="D9" s="2" t="s">
        <v>26</v>
      </c>
      <c r="E9" s="2" t="s">
        <v>27</v>
      </c>
      <c r="F9" s="2" t="s">
        <v>22</v>
      </c>
      <c r="G9" s="2" t="s">
        <v>46</v>
      </c>
      <c r="H9" s="5">
        <v>45415</v>
      </c>
      <c r="I9" s="5">
        <v>45441</v>
      </c>
      <c r="J9" s="2" t="s">
        <v>32</v>
      </c>
      <c r="K9" s="4"/>
      <c r="L9" s="2">
        <v>351</v>
      </c>
      <c r="M9" s="2" t="s">
        <v>23</v>
      </c>
      <c r="N9" s="2" t="s">
        <v>47</v>
      </c>
      <c r="O9" s="2" t="s">
        <v>41</v>
      </c>
    </row>
    <row r="10" spans="1:15" ht="216" x14ac:dyDescent="0.25">
      <c r="A10" s="3">
        <v>285</v>
      </c>
      <c r="B10" s="2" t="s">
        <v>48</v>
      </c>
      <c r="C10" s="2" t="s">
        <v>19</v>
      </c>
      <c r="D10" s="2" t="s">
        <v>49</v>
      </c>
      <c r="E10" s="2" t="s">
        <v>27</v>
      </c>
      <c r="F10" s="2" t="s">
        <v>22</v>
      </c>
      <c r="G10" s="2" t="s">
        <v>50</v>
      </c>
      <c r="H10" s="5">
        <v>45488</v>
      </c>
      <c r="I10" s="4"/>
      <c r="J10" s="2" t="s">
        <v>32</v>
      </c>
      <c r="K10" s="2">
        <v>102342</v>
      </c>
      <c r="L10" s="2">
        <v>366</v>
      </c>
      <c r="M10" s="2" t="s">
        <v>23</v>
      </c>
      <c r="N10" s="2" t="s">
        <v>51</v>
      </c>
      <c r="O10" s="2" t="s">
        <v>41</v>
      </c>
    </row>
    <row r="11" spans="1:15" ht="204" x14ac:dyDescent="0.25">
      <c r="A11" s="3">
        <v>316</v>
      </c>
      <c r="B11" s="2" t="s">
        <v>52</v>
      </c>
      <c r="C11" s="2" t="s">
        <v>19</v>
      </c>
      <c r="D11" s="2" t="s">
        <v>31</v>
      </c>
      <c r="E11" s="2" t="s">
        <v>27</v>
      </c>
      <c r="F11" s="2" t="s">
        <v>22</v>
      </c>
      <c r="G11" s="2" t="s">
        <v>53</v>
      </c>
      <c r="H11" s="5">
        <v>45545</v>
      </c>
      <c r="I11" s="4"/>
      <c r="J11" s="2" t="s">
        <v>32</v>
      </c>
      <c r="K11" s="2">
        <v>120145</v>
      </c>
      <c r="L11" s="2">
        <v>379</v>
      </c>
      <c r="M11" s="2" t="s">
        <v>23</v>
      </c>
      <c r="N11" s="2" t="s">
        <v>54</v>
      </c>
      <c r="O11" s="2" t="s">
        <v>41</v>
      </c>
    </row>
    <row r="12" spans="1:15" ht="84" x14ac:dyDescent="0.25">
      <c r="A12" s="3">
        <v>290</v>
      </c>
      <c r="B12" s="2" t="s">
        <v>55</v>
      </c>
      <c r="C12" s="2" t="s">
        <v>19</v>
      </c>
      <c r="D12" s="2" t="s">
        <v>56</v>
      </c>
      <c r="E12" s="2" t="s">
        <v>27</v>
      </c>
      <c r="F12" s="2" t="s">
        <v>57</v>
      </c>
      <c r="G12" s="2" t="s">
        <v>58</v>
      </c>
      <c r="H12" s="5">
        <v>45491</v>
      </c>
      <c r="I12" s="4"/>
      <c r="J12" s="2" t="s">
        <v>32</v>
      </c>
      <c r="K12" s="4"/>
      <c r="L12" s="2">
        <v>367</v>
      </c>
      <c r="M12" s="2" t="s">
        <v>23</v>
      </c>
      <c r="N12" s="2" t="s">
        <v>59</v>
      </c>
      <c r="O12" s="2" t="s">
        <v>41</v>
      </c>
    </row>
    <row r="13" spans="1:15" ht="132" x14ac:dyDescent="0.25">
      <c r="A13" s="3">
        <v>213</v>
      </c>
      <c r="B13" s="2" t="s">
        <v>60</v>
      </c>
      <c r="C13" s="2" t="s">
        <v>19</v>
      </c>
      <c r="D13" s="2" t="s">
        <v>35</v>
      </c>
      <c r="E13" s="4"/>
      <c r="F13" s="2" t="s">
        <v>22</v>
      </c>
      <c r="G13" s="2" t="s">
        <v>61</v>
      </c>
      <c r="H13" s="5">
        <v>45365</v>
      </c>
      <c r="I13" s="4"/>
      <c r="J13" s="2" t="s">
        <v>62</v>
      </c>
      <c r="K13" s="2">
        <v>102342</v>
      </c>
      <c r="L13" s="2">
        <v>326</v>
      </c>
      <c r="M13" s="2" t="s">
        <v>23</v>
      </c>
      <c r="N13" s="2" t="s">
        <v>63</v>
      </c>
      <c r="O13" s="2" t="s">
        <v>41</v>
      </c>
    </row>
    <row r="14" spans="1:15" ht="48" x14ac:dyDescent="0.25">
      <c r="A14" s="3">
        <v>207</v>
      </c>
      <c r="B14" s="2" t="s">
        <v>64</v>
      </c>
      <c r="C14" s="2" t="s">
        <v>19</v>
      </c>
      <c r="D14" s="2" t="s">
        <v>65</v>
      </c>
      <c r="E14" s="4"/>
      <c r="F14" s="2" t="s">
        <v>22</v>
      </c>
      <c r="G14" s="2" t="s">
        <v>66</v>
      </c>
      <c r="H14" s="5">
        <v>45338</v>
      </c>
      <c r="I14" s="5">
        <v>45343</v>
      </c>
      <c r="J14" s="4"/>
      <c r="K14" s="4"/>
      <c r="L14" s="2">
        <v>324</v>
      </c>
      <c r="M14" s="2" t="s">
        <v>23</v>
      </c>
      <c r="N14" s="2" t="s">
        <v>67</v>
      </c>
      <c r="O14" s="2" t="s">
        <v>41</v>
      </c>
    </row>
    <row r="15" spans="1:15" ht="288" x14ac:dyDescent="0.25">
      <c r="A15" s="3">
        <v>200</v>
      </c>
      <c r="B15" s="2" t="s">
        <v>68</v>
      </c>
      <c r="C15" s="2" t="s">
        <v>19</v>
      </c>
      <c r="D15" s="2" t="s">
        <v>65</v>
      </c>
      <c r="E15" s="4"/>
      <c r="F15" s="2" t="s">
        <v>22</v>
      </c>
      <c r="G15" s="2" t="s">
        <v>69</v>
      </c>
      <c r="H15" s="5">
        <v>45328</v>
      </c>
      <c r="I15" s="5">
        <v>45355</v>
      </c>
      <c r="J15" s="2" t="s">
        <v>62</v>
      </c>
      <c r="K15" s="2" t="s">
        <v>70</v>
      </c>
      <c r="L15" s="2">
        <v>319</v>
      </c>
      <c r="M15" s="2" t="s">
        <v>23</v>
      </c>
      <c r="N15" s="2" t="s">
        <v>71</v>
      </c>
      <c r="O15" s="2" t="s">
        <v>41</v>
      </c>
    </row>
    <row r="16" spans="1:15" ht="84" x14ac:dyDescent="0.25">
      <c r="A16" s="3">
        <v>248</v>
      </c>
      <c r="B16" s="2" t="s">
        <v>73</v>
      </c>
      <c r="C16" s="2" t="s">
        <v>19</v>
      </c>
      <c r="D16" s="2" t="s">
        <v>74</v>
      </c>
      <c r="E16" s="2" t="s">
        <v>27</v>
      </c>
      <c r="F16" s="2" t="s">
        <v>75</v>
      </c>
      <c r="G16" s="4"/>
      <c r="H16" s="4"/>
      <c r="I16" s="4"/>
      <c r="J16" s="2" t="s">
        <v>32</v>
      </c>
      <c r="K16" s="4"/>
      <c r="L16" s="2">
        <v>355</v>
      </c>
      <c r="M16" s="4"/>
      <c r="N16" s="2" t="s">
        <v>76</v>
      </c>
      <c r="O16" s="2" t="s">
        <v>72</v>
      </c>
    </row>
    <row r="17" spans="1:15" ht="72" x14ac:dyDescent="0.25">
      <c r="A17" s="3">
        <v>194</v>
      </c>
      <c r="B17" s="2" t="s">
        <v>77</v>
      </c>
      <c r="C17" s="2" t="s">
        <v>19</v>
      </c>
      <c r="D17" s="2" t="s">
        <v>78</v>
      </c>
      <c r="E17" s="2" t="s">
        <v>27</v>
      </c>
      <c r="F17" s="2" t="s">
        <v>27</v>
      </c>
      <c r="G17" s="4"/>
      <c r="H17" s="5">
        <v>45540</v>
      </c>
      <c r="I17" s="4"/>
      <c r="J17" s="2" t="s">
        <v>79</v>
      </c>
      <c r="K17" s="4"/>
      <c r="L17" s="2">
        <v>315</v>
      </c>
      <c r="M17" s="2" t="s">
        <v>23</v>
      </c>
      <c r="N17" s="2" t="s">
        <v>80</v>
      </c>
      <c r="O17" s="2" t="s">
        <v>72</v>
      </c>
    </row>
    <row r="18" spans="1:15" ht="330" x14ac:dyDescent="0.25">
      <c r="A18" s="3">
        <v>223</v>
      </c>
      <c r="B18" s="2" t="s">
        <v>81</v>
      </c>
      <c r="C18" s="2" t="s">
        <v>19</v>
      </c>
      <c r="D18" s="2" t="s">
        <v>74</v>
      </c>
      <c r="E18" s="2" t="s">
        <v>27</v>
      </c>
      <c r="F18" s="2" t="s">
        <v>27</v>
      </c>
      <c r="G18" s="4"/>
      <c r="H18" s="5">
        <v>45392</v>
      </c>
      <c r="I18" s="4"/>
      <c r="J18" s="2" t="s">
        <v>32</v>
      </c>
      <c r="K18" s="2">
        <v>333</v>
      </c>
      <c r="L18" s="4"/>
      <c r="M18" s="4"/>
      <c r="N18" s="3" t="s">
        <v>82</v>
      </c>
      <c r="O18" s="2" t="s">
        <v>72</v>
      </c>
    </row>
    <row r="19" spans="1:15" ht="96" x14ac:dyDescent="0.25">
      <c r="A19" s="3">
        <v>190</v>
      </c>
      <c r="B19" s="2" t="s">
        <v>83</v>
      </c>
      <c r="C19" s="2" t="s">
        <v>19</v>
      </c>
      <c r="D19" s="2" t="s">
        <v>78</v>
      </c>
      <c r="E19" s="2" t="s">
        <v>27</v>
      </c>
      <c r="F19" s="2" t="s">
        <v>27</v>
      </c>
      <c r="G19" s="4"/>
      <c r="H19" s="4"/>
      <c r="I19" s="4"/>
      <c r="J19" s="2" t="s">
        <v>84</v>
      </c>
      <c r="K19" s="4"/>
      <c r="L19" s="2">
        <v>311</v>
      </c>
      <c r="M19" s="4"/>
      <c r="N19" s="2" t="s">
        <v>85</v>
      </c>
      <c r="O19" s="2" t="s">
        <v>72</v>
      </c>
    </row>
    <row r="20" spans="1:15" ht="60" x14ac:dyDescent="0.25">
      <c r="A20" s="3">
        <v>183</v>
      </c>
      <c r="B20" s="2" t="s">
        <v>86</v>
      </c>
      <c r="C20" s="2" t="s">
        <v>19</v>
      </c>
      <c r="D20" s="2" t="s">
        <v>78</v>
      </c>
      <c r="E20" s="2" t="s">
        <v>27</v>
      </c>
      <c r="F20" s="2" t="s">
        <v>27</v>
      </c>
      <c r="G20" s="4"/>
      <c r="H20" s="4"/>
      <c r="I20" s="4"/>
      <c r="J20" s="2" t="s">
        <v>79</v>
      </c>
      <c r="K20" s="4"/>
      <c r="L20" s="2">
        <v>305</v>
      </c>
      <c r="M20" s="4"/>
      <c r="N20" s="2" t="s">
        <v>87</v>
      </c>
      <c r="O20" s="2" t="s">
        <v>72</v>
      </c>
    </row>
    <row r="21" spans="1:15" ht="144" x14ac:dyDescent="0.25">
      <c r="A21" s="3">
        <v>191</v>
      </c>
      <c r="B21" s="2" t="s">
        <v>88</v>
      </c>
      <c r="C21" s="2" t="s">
        <v>19</v>
      </c>
      <c r="D21" s="2" t="s">
        <v>78</v>
      </c>
      <c r="E21" s="2" t="s">
        <v>27</v>
      </c>
      <c r="F21" s="2" t="s">
        <v>27</v>
      </c>
      <c r="G21" s="4"/>
      <c r="H21" s="4"/>
      <c r="I21" s="4"/>
      <c r="J21" s="2" t="s">
        <v>79</v>
      </c>
      <c r="K21" s="4"/>
      <c r="L21" s="2">
        <v>312</v>
      </c>
      <c r="M21" s="4"/>
      <c r="N21" s="2" t="s">
        <v>89</v>
      </c>
      <c r="O21" s="2" t="s">
        <v>72</v>
      </c>
    </row>
    <row r="22" spans="1:15" ht="36" x14ac:dyDescent="0.25">
      <c r="A22" s="3">
        <v>189</v>
      </c>
      <c r="B22" s="2" t="s">
        <v>90</v>
      </c>
      <c r="C22" s="2" t="s">
        <v>19</v>
      </c>
      <c r="D22" s="2" t="s">
        <v>78</v>
      </c>
      <c r="E22" s="2" t="s">
        <v>27</v>
      </c>
      <c r="F22" s="2" t="s">
        <v>27</v>
      </c>
      <c r="G22" s="4"/>
      <c r="H22" s="4"/>
      <c r="I22" s="4"/>
      <c r="J22" s="2" t="s">
        <v>79</v>
      </c>
      <c r="K22" s="4"/>
      <c r="L22" s="2">
        <v>310</v>
      </c>
      <c r="M22" s="4"/>
      <c r="N22" s="2" t="s">
        <v>91</v>
      </c>
      <c r="O22" s="2" t="s">
        <v>72</v>
      </c>
    </row>
    <row r="23" spans="1:15" ht="84" x14ac:dyDescent="0.25">
      <c r="A23" s="3">
        <v>185</v>
      </c>
      <c r="B23" s="2" t="s">
        <v>92</v>
      </c>
      <c r="C23" s="2" t="s">
        <v>19</v>
      </c>
      <c r="D23" s="2" t="s">
        <v>78</v>
      </c>
      <c r="E23" s="2" t="s">
        <v>27</v>
      </c>
      <c r="F23" s="2" t="s">
        <v>27</v>
      </c>
      <c r="G23" s="4"/>
      <c r="H23" s="4"/>
      <c r="I23" s="4"/>
      <c r="J23" s="2" t="s">
        <v>79</v>
      </c>
      <c r="K23" s="4"/>
      <c r="L23" s="2">
        <v>306</v>
      </c>
      <c r="M23" s="4"/>
      <c r="N23" s="2" t="s">
        <v>93</v>
      </c>
      <c r="O23" s="2" t="s">
        <v>72</v>
      </c>
    </row>
    <row r="24" spans="1:15" ht="144" x14ac:dyDescent="0.25">
      <c r="A24" s="3">
        <v>218</v>
      </c>
      <c r="B24" s="2" t="s">
        <v>95</v>
      </c>
      <c r="C24" s="2" t="s">
        <v>19</v>
      </c>
      <c r="D24" s="2" t="s">
        <v>26</v>
      </c>
      <c r="E24" s="2" t="s">
        <v>27</v>
      </c>
      <c r="F24" s="2" t="s">
        <v>22</v>
      </c>
      <c r="G24" s="2" t="s">
        <v>43</v>
      </c>
      <c r="H24" s="5">
        <v>45383</v>
      </c>
      <c r="I24" s="4"/>
      <c r="J24" s="2" t="s">
        <v>79</v>
      </c>
      <c r="K24" s="4"/>
      <c r="L24" s="2">
        <v>330</v>
      </c>
      <c r="M24" s="2" t="s">
        <v>23</v>
      </c>
      <c r="N24" s="2" t="s">
        <v>96</v>
      </c>
      <c r="O24" s="2" t="s">
        <v>94</v>
      </c>
    </row>
    <row r="25" spans="1:15" ht="36" x14ac:dyDescent="0.25">
      <c r="A25" s="3">
        <v>240</v>
      </c>
      <c r="B25" s="2" t="s">
        <v>97</v>
      </c>
      <c r="C25" s="2" t="s">
        <v>19</v>
      </c>
      <c r="D25" s="2" t="s">
        <v>26</v>
      </c>
      <c r="E25" s="2" t="s">
        <v>27</v>
      </c>
      <c r="F25" s="2" t="s">
        <v>22</v>
      </c>
      <c r="G25" s="4"/>
      <c r="H25" s="5">
        <v>45419</v>
      </c>
      <c r="I25" s="5">
        <v>45422</v>
      </c>
      <c r="J25" s="2" t="s">
        <v>32</v>
      </c>
      <c r="K25" s="4"/>
      <c r="L25" s="2">
        <v>347</v>
      </c>
      <c r="M25" s="2" t="s">
        <v>23</v>
      </c>
      <c r="N25" s="2" t="s">
        <v>98</v>
      </c>
      <c r="O25" s="2" t="s">
        <v>94</v>
      </c>
    </row>
    <row r="26" spans="1:15" ht="156" x14ac:dyDescent="0.25">
      <c r="A26" s="3">
        <v>250</v>
      </c>
      <c r="B26" s="2" t="s">
        <v>99</v>
      </c>
      <c r="C26" s="2" t="s">
        <v>19</v>
      </c>
      <c r="D26" s="2" t="s">
        <v>74</v>
      </c>
      <c r="E26" s="2" t="s">
        <v>27</v>
      </c>
      <c r="F26" s="2" t="s">
        <v>27</v>
      </c>
      <c r="G26" s="2" t="s">
        <v>100</v>
      </c>
      <c r="H26" s="5">
        <v>45447</v>
      </c>
      <c r="I26" s="4"/>
      <c r="J26" s="2" t="s">
        <v>79</v>
      </c>
      <c r="K26" s="4"/>
      <c r="L26" s="2">
        <v>356</v>
      </c>
      <c r="M26" s="2" t="s">
        <v>23</v>
      </c>
      <c r="N26" s="2" t="s">
        <v>101</v>
      </c>
      <c r="O26" s="2" t="s">
        <v>94</v>
      </c>
    </row>
    <row r="27" spans="1:15" ht="84" x14ac:dyDescent="0.25">
      <c r="A27" s="3">
        <v>178</v>
      </c>
      <c r="B27" s="2" t="s">
        <v>102</v>
      </c>
      <c r="C27" s="2" t="s">
        <v>19</v>
      </c>
      <c r="D27" s="2" t="s">
        <v>31</v>
      </c>
      <c r="E27" s="2" t="s">
        <v>27</v>
      </c>
      <c r="F27" s="2" t="s">
        <v>22</v>
      </c>
      <c r="G27" s="2" t="s">
        <v>53</v>
      </c>
      <c r="H27" s="5">
        <v>45446</v>
      </c>
      <c r="I27" s="4"/>
      <c r="J27" s="2" t="s">
        <v>79</v>
      </c>
      <c r="K27" s="4"/>
      <c r="L27" s="2">
        <v>302</v>
      </c>
      <c r="M27" s="2" t="s">
        <v>23</v>
      </c>
      <c r="N27" s="2" t="s">
        <v>103</v>
      </c>
      <c r="O27" s="2" t="s">
        <v>94</v>
      </c>
    </row>
    <row r="28" spans="1:15" ht="84" x14ac:dyDescent="0.25">
      <c r="A28" s="3">
        <v>186</v>
      </c>
      <c r="B28" s="2" t="s">
        <v>104</v>
      </c>
      <c r="C28" s="2" t="s">
        <v>19</v>
      </c>
      <c r="D28" s="2" t="s">
        <v>49</v>
      </c>
      <c r="E28" s="2" t="s">
        <v>27</v>
      </c>
      <c r="F28" s="2" t="s">
        <v>22</v>
      </c>
      <c r="G28" s="2" t="s">
        <v>50</v>
      </c>
      <c r="H28" s="5">
        <v>45418</v>
      </c>
      <c r="I28" s="5">
        <v>45425</v>
      </c>
      <c r="J28" s="2" t="s">
        <v>105</v>
      </c>
      <c r="K28" s="4"/>
      <c r="L28" s="2">
        <v>307</v>
      </c>
      <c r="M28" s="2" t="s">
        <v>23</v>
      </c>
      <c r="N28" s="2" t="s">
        <v>106</v>
      </c>
      <c r="O28" s="2" t="s">
        <v>94</v>
      </c>
    </row>
    <row r="29" spans="1:15" ht="60" x14ac:dyDescent="0.25">
      <c r="A29" s="3">
        <v>239</v>
      </c>
      <c r="B29" s="2" t="s">
        <v>107</v>
      </c>
      <c r="C29" s="2" t="s">
        <v>19</v>
      </c>
      <c r="D29" s="2" t="s">
        <v>26</v>
      </c>
      <c r="E29" s="2" t="s">
        <v>27</v>
      </c>
      <c r="F29" s="2" t="s">
        <v>22</v>
      </c>
      <c r="G29" s="4"/>
      <c r="H29" s="5">
        <v>45419</v>
      </c>
      <c r="I29" s="5">
        <v>45422</v>
      </c>
      <c r="J29" s="2" t="s">
        <v>32</v>
      </c>
      <c r="K29" s="4"/>
      <c r="L29" s="2">
        <v>347</v>
      </c>
      <c r="M29" s="2" t="s">
        <v>23</v>
      </c>
      <c r="N29" s="3" t="s">
        <v>108</v>
      </c>
      <c r="O29" s="2" t="s">
        <v>94</v>
      </c>
    </row>
    <row r="30" spans="1:15" ht="60" x14ac:dyDescent="0.25">
      <c r="A30" s="3">
        <v>238</v>
      </c>
      <c r="B30" s="2" t="s">
        <v>109</v>
      </c>
      <c r="C30" s="2" t="s">
        <v>19</v>
      </c>
      <c r="D30" s="2" t="s">
        <v>56</v>
      </c>
      <c r="E30" s="2" t="s">
        <v>27</v>
      </c>
      <c r="F30" s="2" t="s">
        <v>57</v>
      </c>
      <c r="G30" s="2" t="s">
        <v>58</v>
      </c>
      <c r="H30" s="5">
        <v>45421</v>
      </c>
      <c r="I30" s="5">
        <v>45422</v>
      </c>
      <c r="J30" s="2" t="s">
        <v>110</v>
      </c>
      <c r="K30" s="4"/>
      <c r="L30" s="2">
        <v>346</v>
      </c>
      <c r="M30" s="2" t="s">
        <v>23</v>
      </c>
      <c r="N30" s="2" t="s">
        <v>111</v>
      </c>
      <c r="O30" s="2" t="s">
        <v>94</v>
      </c>
    </row>
    <row r="31" spans="1:15" ht="24" x14ac:dyDescent="0.25">
      <c r="A31" s="3">
        <v>237</v>
      </c>
      <c r="B31" s="2" t="s">
        <v>112</v>
      </c>
      <c r="C31" s="2" t="s">
        <v>19</v>
      </c>
      <c r="D31" s="2" t="s">
        <v>56</v>
      </c>
      <c r="E31" s="2" t="s">
        <v>27</v>
      </c>
      <c r="F31" s="2" t="s">
        <v>113</v>
      </c>
      <c r="G31" s="2" t="s">
        <v>50</v>
      </c>
      <c r="H31" s="5">
        <v>45440</v>
      </c>
      <c r="I31" s="5">
        <v>45483</v>
      </c>
      <c r="J31" s="2" t="s">
        <v>79</v>
      </c>
      <c r="K31" s="4"/>
      <c r="L31" s="2">
        <v>347</v>
      </c>
      <c r="M31" s="2" t="s">
        <v>114</v>
      </c>
      <c r="N31" s="2" t="s">
        <v>115</v>
      </c>
      <c r="O31" s="2" t="s">
        <v>94</v>
      </c>
    </row>
    <row r="32" spans="1:15" ht="168" x14ac:dyDescent="0.25">
      <c r="A32" s="3">
        <v>236</v>
      </c>
      <c r="B32" s="2" t="s">
        <v>116</v>
      </c>
      <c r="C32" s="2" t="s">
        <v>19</v>
      </c>
      <c r="D32" s="2" t="s">
        <v>49</v>
      </c>
      <c r="E32" s="2" t="s">
        <v>27</v>
      </c>
      <c r="F32" s="2" t="s">
        <v>22</v>
      </c>
      <c r="G32" s="2" t="s">
        <v>50</v>
      </c>
      <c r="H32" s="5">
        <v>45427</v>
      </c>
      <c r="I32" s="4"/>
      <c r="J32" s="2" t="s">
        <v>79</v>
      </c>
      <c r="K32" s="4"/>
      <c r="L32" s="2">
        <v>346</v>
      </c>
      <c r="M32" s="2" t="s">
        <v>23</v>
      </c>
      <c r="N32" s="2" t="s">
        <v>117</v>
      </c>
      <c r="O32" s="2" t="s">
        <v>94</v>
      </c>
    </row>
    <row r="33" spans="1:15" ht="36" x14ac:dyDescent="0.25">
      <c r="A33" s="3">
        <v>187</v>
      </c>
      <c r="B33" s="2" t="s">
        <v>118</v>
      </c>
      <c r="C33" s="2" t="s">
        <v>19</v>
      </c>
      <c r="D33" s="2" t="s">
        <v>56</v>
      </c>
      <c r="E33" s="2" t="s">
        <v>27</v>
      </c>
      <c r="F33" s="2" t="s">
        <v>57</v>
      </c>
      <c r="G33" s="2" t="s">
        <v>100</v>
      </c>
      <c r="H33" s="5">
        <v>45421</v>
      </c>
      <c r="I33" s="5">
        <v>45425</v>
      </c>
      <c r="J33" s="2" t="s">
        <v>119</v>
      </c>
      <c r="K33" s="4"/>
      <c r="L33" s="2">
        <v>309</v>
      </c>
      <c r="M33" s="2" t="s">
        <v>23</v>
      </c>
      <c r="N33" s="2" t="s">
        <v>120</v>
      </c>
      <c r="O33" s="2" t="s">
        <v>94</v>
      </c>
    </row>
    <row r="34" spans="1:15" ht="60" x14ac:dyDescent="0.25">
      <c r="A34" s="3">
        <v>193</v>
      </c>
      <c r="B34" s="2" t="s">
        <v>123</v>
      </c>
      <c r="C34" s="2" t="s">
        <v>19</v>
      </c>
      <c r="D34" s="2" t="s">
        <v>20</v>
      </c>
      <c r="E34" s="2" t="s">
        <v>27</v>
      </c>
      <c r="F34" s="2" t="s">
        <v>22</v>
      </c>
      <c r="G34" s="2" t="s">
        <v>61</v>
      </c>
      <c r="H34" s="5">
        <v>45356</v>
      </c>
      <c r="I34" s="5">
        <v>45376</v>
      </c>
      <c r="J34" s="2" t="s">
        <v>79</v>
      </c>
      <c r="K34" s="4"/>
      <c r="L34" s="2">
        <v>314</v>
      </c>
      <c r="M34" s="2" t="s">
        <v>114</v>
      </c>
      <c r="N34" s="2" t="s">
        <v>124</v>
      </c>
      <c r="O34" s="2" t="s">
        <v>121</v>
      </c>
    </row>
    <row r="35" spans="1:15" ht="72" x14ac:dyDescent="0.25">
      <c r="A35" s="3">
        <v>192</v>
      </c>
      <c r="B35" s="2" t="s">
        <v>125</v>
      </c>
      <c r="C35" s="2" t="s">
        <v>19</v>
      </c>
      <c r="D35" s="2" t="s">
        <v>35</v>
      </c>
      <c r="E35" s="2" t="s">
        <v>27</v>
      </c>
      <c r="F35" s="2" t="s">
        <v>22</v>
      </c>
      <c r="G35" s="2" t="s">
        <v>61</v>
      </c>
      <c r="H35" s="5">
        <v>45356</v>
      </c>
      <c r="I35" s="4"/>
      <c r="J35" s="2" t="s">
        <v>79</v>
      </c>
      <c r="K35" s="4"/>
      <c r="L35" s="2">
        <v>313</v>
      </c>
      <c r="M35" s="2" t="s">
        <v>23</v>
      </c>
      <c r="N35" s="2" t="s">
        <v>126</v>
      </c>
      <c r="O35" s="2" t="s">
        <v>121</v>
      </c>
    </row>
    <row r="36" spans="1:15" ht="36" x14ac:dyDescent="0.25">
      <c r="A36" s="3">
        <v>184</v>
      </c>
      <c r="B36" s="2" t="s">
        <v>127</v>
      </c>
      <c r="C36" s="2" t="s">
        <v>19</v>
      </c>
      <c r="D36" s="2" t="s">
        <v>35</v>
      </c>
      <c r="E36" s="2" t="s">
        <v>27</v>
      </c>
      <c r="F36" s="2" t="s">
        <v>22</v>
      </c>
      <c r="G36" s="2" t="s">
        <v>61</v>
      </c>
      <c r="H36" s="4"/>
      <c r="I36" s="4"/>
      <c r="J36" s="2" t="s">
        <v>79</v>
      </c>
      <c r="K36" s="4"/>
      <c r="L36" s="2">
        <v>306</v>
      </c>
      <c r="M36" s="2" t="s">
        <v>114</v>
      </c>
      <c r="N36" s="2" t="s">
        <v>128</v>
      </c>
      <c r="O36" s="2" t="s">
        <v>121</v>
      </c>
    </row>
    <row r="37" spans="1:15" ht="108" x14ac:dyDescent="0.25">
      <c r="A37" s="3">
        <v>182</v>
      </c>
      <c r="B37" s="2" t="s">
        <v>129</v>
      </c>
      <c r="C37" s="2" t="s">
        <v>19</v>
      </c>
      <c r="D37" s="2" t="s">
        <v>35</v>
      </c>
      <c r="E37" s="2" t="s">
        <v>27</v>
      </c>
      <c r="F37" s="2" t="s">
        <v>22</v>
      </c>
      <c r="G37" s="2" t="s">
        <v>61</v>
      </c>
      <c r="H37" s="4"/>
      <c r="I37" s="4"/>
      <c r="J37" s="2" t="s">
        <v>79</v>
      </c>
      <c r="K37" s="4"/>
      <c r="L37" s="2">
        <v>304</v>
      </c>
      <c r="M37" s="2" t="s">
        <v>114</v>
      </c>
      <c r="N37" s="2" t="s">
        <v>130</v>
      </c>
      <c r="O37" s="2" t="s">
        <v>121</v>
      </c>
    </row>
    <row r="38" spans="1:15" ht="36" x14ac:dyDescent="0.25">
      <c r="A38" s="3">
        <v>179</v>
      </c>
      <c r="B38" s="2" t="s">
        <v>132</v>
      </c>
      <c r="C38" s="2" t="s">
        <v>19</v>
      </c>
      <c r="D38" s="2" t="s">
        <v>122</v>
      </c>
      <c r="E38" s="2" t="s">
        <v>27</v>
      </c>
      <c r="F38" s="2" t="s">
        <v>22</v>
      </c>
      <c r="G38" s="2" t="s">
        <v>133</v>
      </c>
      <c r="H38" s="5">
        <v>45315</v>
      </c>
      <c r="I38" s="5">
        <v>45315</v>
      </c>
      <c r="J38" s="2" t="s">
        <v>79</v>
      </c>
      <c r="K38" s="4"/>
      <c r="L38" s="2">
        <v>303</v>
      </c>
      <c r="M38" s="2" t="s">
        <v>114</v>
      </c>
      <c r="N38" s="2" t="s">
        <v>134</v>
      </c>
      <c r="O38" s="2" t="s">
        <v>131</v>
      </c>
    </row>
    <row r="39" spans="1:15" ht="72" x14ac:dyDescent="0.25">
      <c r="A39" s="3">
        <v>166</v>
      </c>
      <c r="B39" s="2" t="s">
        <v>136</v>
      </c>
      <c r="C39" s="2" t="s">
        <v>19</v>
      </c>
      <c r="D39" s="2" t="s">
        <v>65</v>
      </c>
      <c r="E39" s="2" t="s">
        <v>27</v>
      </c>
      <c r="F39" s="2" t="s">
        <v>22</v>
      </c>
      <c r="G39" s="2" t="s">
        <v>69</v>
      </c>
      <c r="H39" s="5">
        <v>45315</v>
      </c>
      <c r="I39" s="4"/>
      <c r="J39" s="2" t="s">
        <v>79</v>
      </c>
      <c r="K39" s="4"/>
      <c r="L39" s="2">
        <v>295</v>
      </c>
      <c r="M39" s="2" t="s">
        <v>23</v>
      </c>
      <c r="N39" s="2" t="s">
        <v>137</v>
      </c>
      <c r="O39" s="2" t="s">
        <v>135</v>
      </c>
    </row>
    <row r="40" spans="1:15" ht="48" x14ac:dyDescent="0.25">
      <c r="A40" s="3">
        <v>222</v>
      </c>
      <c r="B40" s="2" t="s">
        <v>139</v>
      </c>
      <c r="C40" s="2" t="s">
        <v>19</v>
      </c>
      <c r="D40" s="2" t="s">
        <v>20</v>
      </c>
      <c r="E40" s="2" t="s">
        <v>27</v>
      </c>
      <c r="F40" s="2" t="s">
        <v>22</v>
      </c>
      <c r="G40" s="4"/>
      <c r="H40" s="5">
        <v>45389</v>
      </c>
      <c r="I40" s="4"/>
      <c r="J40" s="2" t="s">
        <v>32</v>
      </c>
      <c r="K40" s="2">
        <v>103860</v>
      </c>
      <c r="L40" s="2">
        <v>332</v>
      </c>
      <c r="M40" s="2" t="s">
        <v>23</v>
      </c>
      <c r="N40" s="2" t="s">
        <v>140</v>
      </c>
      <c r="O40" s="2" t="s">
        <v>138</v>
      </c>
    </row>
    <row r="41" spans="1:15" ht="48" x14ac:dyDescent="0.25">
      <c r="A41" s="3">
        <v>224</v>
      </c>
      <c r="B41" s="2" t="s">
        <v>141</v>
      </c>
      <c r="C41" s="2" t="s">
        <v>19</v>
      </c>
      <c r="D41" s="2" t="s">
        <v>20</v>
      </c>
      <c r="E41" s="2" t="s">
        <v>21</v>
      </c>
      <c r="F41" s="2" t="s">
        <v>22</v>
      </c>
      <c r="G41" s="4"/>
      <c r="H41" s="5">
        <v>45393</v>
      </c>
      <c r="I41" s="5">
        <v>45400</v>
      </c>
      <c r="J41" s="2" t="s">
        <v>32</v>
      </c>
      <c r="K41" s="2">
        <v>104784</v>
      </c>
      <c r="L41" s="2">
        <v>334</v>
      </c>
      <c r="M41" s="2" t="s">
        <v>23</v>
      </c>
      <c r="N41" s="2" t="s">
        <v>142</v>
      </c>
      <c r="O41" s="2" t="s">
        <v>138</v>
      </c>
    </row>
    <row r="42" spans="1:15" ht="48" x14ac:dyDescent="0.25">
      <c r="A42" s="3">
        <v>227</v>
      </c>
      <c r="B42" s="2" t="s">
        <v>143</v>
      </c>
      <c r="C42" s="2" t="s">
        <v>19</v>
      </c>
      <c r="D42" s="2" t="s">
        <v>20</v>
      </c>
      <c r="E42" s="2" t="s">
        <v>21</v>
      </c>
      <c r="F42" s="2" t="s">
        <v>22</v>
      </c>
      <c r="G42" s="4"/>
      <c r="H42" s="5">
        <v>45398</v>
      </c>
      <c r="I42" s="5">
        <v>45398</v>
      </c>
      <c r="J42" s="2" t="s">
        <v>105</v>
      </c>
      <c r="K42" s="2">
        <v>104786</v>
      </c>
      <c r="L42" s="2">
        <v>337</v>
      </c>
      <c r="M42" s="2" t="s">
        <v>23</v>
      </c>
      <c r="N42" s="2" t="s">
        <v>144</v>
      </c>
      <c r="O42" s="2" t="s">
        <v>138</v>
      </c>
    </row>
    <row r="43" spans="1:15" ht="60" x14ac:dyDescent="0.25">
      <c r="A43" s="3">
        <v>233</v>
      </c>
      <c r="B43" s="2" t="s">
        <v>145</v>
      </c>
      <c r="C43" s="2" t="s">
        <v>19</v>
      </c>
      <c r="D43" s="2" t="s">
        <v>20</v>
      </c>
      <c r="E43" s="2" t="s">
        <v>21</v>
      </c>
      <c r="F43" s="2" t="s">
        <v>22</v>
      </c>
      <c r="G43" s="4"/>
      <c r="H43" s="5">
        <v>45408</v>
      </c>
      <c r="I43" s="5">
        <v>45414</v>
      </c>
      <c r="J43" s="2" t="s">
        <v>62</v>
      </c>
      <c r="K43" s="2">
        <v>105866</v>
      </c>
      <c r="L43" s="2">
        <v>343</v>
      </c>
      <c r="M43" s="2" t="s">
        <v>23</v>
      </c>
      <c r="N43" s="2" t="s">
        <v>146</v>
      </c>
      <c r="O43" s="2" t="s">
        <v>138</v>
      </c>
    </row>
    <row r="44" spans="1:15" ht="48" x14ac:dyDescent="0.25">
      <c r="A44" s="3">
        <v>229</v>
      </c>
      <c r="B44" s="2" t="s">
        <v>147</v>
      </c>
      <c r="C44" s="2" t="s">
        <v>19</v>
      </c>
      <c r="D44" s="2" t="s">
        <v>26</v>
      </c>
      <c r="E44" s="2" t="s">
        <v>27</v>
      </c>
      <c r="F44" s="2" t="s">
        <v>22</v>
      </c>
      <c r="G44" s="2" t="s">
        <v>43</v>
      </c>
      <c r="H44" s="4"/>
      <c r="I44" s="4"/>
      <c r="J44" s="2" t="s">
        <v>32</v>
      </c>
      <c r="K44" s="4"/>
      <c r="L44" s="2">
        <v>339</v>
      </c>
      <c r="M44" s="2" t="s">
        <v>23</v>
      </c>
      <c r="N44" s="2" t="s">
        <v>148</v>
      </c>
      <c r="O44" s="2" t="s">
        <v>138</v>
      </c>
    </row>
    <row r="45" spans="1:15" ht="36" x14ac:dyDescent="0.25">
      <c r="A45" s="3">
        <v>232</v>
      </c>
      <c r="B45" s="2" t="s">
        <v>149</v>
      </c>
      <c r="C45" s="2" t="s">
        <v>19</v>
      </c>
      <c r="D45" s="2" t="s">
        <v>20</v>
      </c>
      <c r="E45" s="2" t="s">
        <v>21</v>
      </c>
      <c r="F45" s="2" t="s">
        <v>22</v>
      </c>
      <c r="G45" s="4"/>
      <c r="H45" s="5">
        <v>45408</v>
      </c>
      <c r="I45" s="5">
        <v>45408</v>
      </c>
      <c r="J45" s="2" t="s">
        <v>62</v>
      </c>
      <c r="K45" s="4"/>
      <c r="L45" s="2">
        <v>342</v>
      </c>
      <c r="M45" s="2" t="s">
        <v>23</v>
      </c>
      <c r="N45" s="2" t="s">
        <v>150</v>
      </c>
      <c r="O45" s="2" t="s">
        <v>138</v>
      </c>
    </row>
    <row r="46" spans="1:15" ht="72" x14ac:dyDescent="0.25">
      <c r="A46" s="3">
        <v>228</v>
      </c>
      <c r="B46" s="2" t="s">
        <v>151</v>
      </c>
      <c r="C46" s="2" t="s">
        <v>19</v>
      </c>
      <c r="D46" s="2" t="s">
        <v>26</v>
      </c>
      <c r="E46" s="2" t="s">
        <v>27</v>
      </c>
      <c r="F46" s="2" t="s">
        <v>22</v>
      </c>
      <c r="G46" s="2" t="s">
        <v>43</v>
      </c>
      <c r="H46" s="4"/>
      <c r="I46" s="4"/>
      <c r="J46" s="2" t="s">
        <v>32</v>
      </c>
      <c r="K46" s="4"/>
      <c r="L46" s="2">
        <v>338</v>
      </c>
      <c r="M46" s="2" t="s">
        <v>23</v>
      </c>
      <c r="N46" s="2" t="s">
        <v>152</v>
      </c>
      <c r="O46" s="2" t="s">
        <v>138</v>
      </c>
    </row>
    <row r="47" spans="1:15" ht="75" x14ac:dyDescent="0.25">
      <c r="A47" s="3">
        <v>219</v>
      </c>
      <c r="B47" s="2" t="s">
        <v>153</v>
      </c>
      <c r="C47" s="2" t="s">
        <v>19</v>
      </c>
      <c r="D47" s="2" t="s">
        <v>26</v>
      </c>
      <c r="E47" s="2" t="s">
        <v>27</v>
      </c>
      <c r="F47" s="2" t="s">
        <v>22</v>
      </c>
      <c r="G47" s="2" t="s">
        <v>43</v>
      </c>
      <c r="H47" s="5">
        <v>45389</v>
      </c>
      <c r="I47" s="4"/>
      <c r="J47" s="2" t="s">
        <v>32</v>
      </c>
      <c r="K47" s="4"/>
      <c r="L47" s="2">
        <v>331</v>
      </c>
      <c r="M47" s="2" t="s">
        <v>23</v>
      </c>
      <c r="N47" s="3" t="s">
        <v>154</v>
      </c>
      <c r="O47" s="2" t="s">
        <v>138</v>
      </c>
    </row>
    <row r="48" spans="1:15" ht="48" x14ac:dyDescent="0.25">
      <c r="A48" s="3">
        <v>230</v>
      </c>
      <c r="B48" s="2" t="s">
        <v>155</v>
      </c>
      <c r="C48" s="2" t="s">
        <v>19</v>
      </c>
      <c r="D48" s="2" t="s">
        <v>26</v>
      </c>
      <c r="E48" s="2" t="s">
        <v>27</v>
      </c>
      <c r="F48" s="2" t="s">
        <v>22</v>
      </c>
      <c r="G48" s="2" t="s">
        <v>43</v>
      </c>
      <c r="H48" s="5">
        <v>45425</v>
      </c>
      <c r="I48" s="5">
        <v>45426</v>
      </c>
      <c r="J48" s="2" t="s">
        <v>32</v>
      </c>
      <c r="K48" s="4"/>
      <c r="L48" s="2">
        <v>340</v>
      </c>
      <c r="M48" s="2" t="s">
        <v>23</v>
      </c>
      <c r="N48" s="2" t="s">
        <v>156</v>
      </c>
      <c r="O48" s="2" t="s">
        <v>138</v>
      </c>
    </row>
    <row r="49" spans="1:15" ht="48" x14ac:dyDescent="0.25">
      <c r="A49" s="3">
        <v>243</v>
      </c>
      <c r="B49" s="2" t="s">
        <v>157</v>
      </c>
      <c r="C49" s="2" t="s">
        <v>19</v>
      </c>
      <c r="D49" s="2" t="s">
        <v>26</v>
      </c>
      <c r="E49" s="2" t="s">
        <v>27</v>
      </c>
      <c r="F49" s="2" t="s">
        <v>22</v>
      </c>
      <c r="G49" s="2" t="s">
        <v>46</v>
      </c>
      <c r="H49" s="5">
        <v>45433</v>
      </c>
      <c r="I49" s="5">
        <v>45433</v>
      </c>
      <c r="J49" s="4"/>
      <c r="K49" s="4"/>
      <c r="L49" s="2">
        <v>350</v>
      </c>
      <c r="M49" s="2" t="s">
        <v>23</v>
      </c>
      <c r="N49" s="2" t="s">
        <v>158</v>
      </c>
      <c r="O49" s="2" t="s">
        <v>138</v>
      </c>
    </row>
    <row r="50" spans="1:15" ht="36" x14ac:dyDescent="0.25">
      <c r="A50" s="3">
        <v>244</v>
      </c>
      <c r="B50" s="2" t="s">
        <v>159</v>
      </c>
      <c r="C50" s="2" t="s">
        <v>19</v>
      </c>
      <c r="D50" s="2" t="s">
        <v>26</v>
      </c>
      <c r="E50" s="2" t="s">
        <v>27</v>
      </c>
      <c r="F50" s="2" t="s">
        <v>22</v>
      </c>
      <c r="G50" s="2" t="s">
        <v>46</v>
      </c>
      <c r="H50" s="5">
        <v>45434</v>
      </c>
      <c r="I50" s="5">
        <v>45434</v>
      </c>
      <c r="J50" s="2" t="s">
        <v>32</v>
      </c>
      <c r="K50" s="4"/>
      <c r="L50" s="2">
        <v>352</v>
      </c>
      <c r="M50" s="2" t="s">
        <v>23</v>
      </c>
      <c r="N50" s="2" t="s">
        <v>160</v>
      </c>
      <c r="O50" s="2" t="s">
        <v>138</v>
      </c>
    </row>
    <row r="51" spans="1:15" ht="72" x14ac:dyDescent="0.25">
      <c r="A51" s="3">
        <v>225</v>
      </c>
      <c r="B51" s="2" t="s">
        <v>161</v>
      </c>
      <c r="C51" s="2" t="s">
        <v>19</v>
      </c>
      <c r="D51" s="2" t="s">
        <v>26</v>
      </c>
      <c r="E51" s="2" t="s">
        <v>27</v>
      </c>
      <c r="F51" s="2" t="s">
        <v>22</v>
      </c>
      <c r="G51" s="4"/>
      <c r="H51" s="5">
        <v>45397</v>
      </c>
      <c r="I51" s="5">
        <v>45436</v>
      </c>
      <c r="J51" s="2" t="s">
        <v>105</v>
      </c>
      <c r="K51" s="2">
        <v>107778</v>
      </c>
      <c r="L51" s="2">
        <v>335</v>
      </c>
      <c r="M51" s="2" t="s">
        <v>23</v>
      </c>
      <c r="N51" s="2" t="s">
        <v>162</v>
      </c>
      <c r="O51" s="2" t="s">
        <v>138</v>
      </c>
    </row>
    <row r="52" spans="1:15" ht="24" x14ac:dyDescent="0.25">
      <c r="A52" s="3">
        <v>324</v>
      </c>
      <c r="B52" s="2" t="s">
        <v>163</v>
      </c>
      <c r="C52" s="2" t="s">
        <v>19</v>
      </c>
      <c r="D52" s="2" t="s">
        <v>164</v>
      </c>
      <c r="E52" s="2" t="s">
        <v>27</v>
      </c>
      <c r="F52" s="2" t="s">
        <v>22</v>
      </c>
      <c r="G52" s="4"/>
      <c r="H52" s="4"/>
      <c r="I52" s="4"/>
      <c r="J52" s="2" t="s">
        <v>32</v>
      </c>
      <c r="K52" s="4"/>
      <c r="L52" s="2">
        <v>380</v>
      </c>
      <c r="M52" s="2" t="s">
        <v>23</v>
      </c>
      <c r="N52" s="2" t="s">
        <v>165</v>
      </c>
      <c r="O52" s="2" t="s">
        <v>138</v>
      </c>
    </row>
    <row r="53" spans="1:15" ht="150" x14ac:dyDescent="0.25">
      <c r="A53" s="3">
        <v>254</v>
      </c>
      <c r="B53" s="2" t="s">
        <v>166</v>
      </c>
      <c r="C53" s="2" t="s">
        <v>19</v>
      </c>
      <c r="D53" s="2" t="s">
        <v>167</v>
      </c>
      <c r="E53" s="2" t="s">
        <v>21</v>
      </c>
      <c r="F53" s="2" t="s">
        <v>22</v>
      </c>
      <c r="G53" s="4"/>
      <c r="H53" s="5">
        <v>45454</v>
      </c>
      <c r="I53" s="5">
        <v>45454</v>
      </c>
      <c r="J53" s="2" t="s">
        <v>28</v>
      </c>
      <c r="K53" s="2">
        <v>109586</v>
      </c>
      <c r="L53" s="2">
        <v>357</v>
      </c>
      <c r="M53" s="2" t="s">
        <v>23</v>
      </c>
      <c r="N53" s="3" t="s">
        <v>168</v>
      </c>
      <c r="O53" s="2" t="s">
        <v>138</v>
      </c>
    </row>
    <row r="54" spans="1:15" ht="24" x14ac:dyDescent="0.25">
      <c r="A54" s="3">
        <v>268</v>
      </c>
      <c r="B54" s="2" t="s">
        <v>169</v>
      </c>
      <c r="C54" s="2" t="s">
        <v>19</v>
      </c>
      <c r="D54" s="2" t="s">
        <v>17</v>
      </c>
      <c r="E54" s="2" t="s">
        <v>27</v>
      </c>
      <c r="F54" s="2" t="s">
        <v>22</v>
      </c>
      <c r="G54" s="4"/>
      <c r="H54" s="5">
        <v>45467</v>
      </c>
      <c r="I54" s="5">
        <v>45467</v>
      </c>
      <c r="J54" s="2" t="s">
        <v>32</v>
      </c>
      <c r="K54" s="4"/>
      <c r="L54" s="2">
        <v>361</v>
      </c>
      <c r="M54" s="2" t="s">
        <v>23</v>
      </c>
      <c r="N54" s="2" t="s">
        <v>170</v>
      </c>
      <c r="O54" s="2" t="s">
        <v>138</v>
      </c>
    </row>
    <row r="55" spans="1:15" ht="24" x14ac:dyDescent="0.25">
      <c r="A55" s="3">
        <v>291</v>
      </c>
      <c r="B55" s="2" t="s">
        <v>171</v>
      </c>
      <c r="C55" s="2" t="s">
        <v>19</v>
      </c>
      <c r="D55" s="2" t="s">
        <v>56</v>
      </c>
      <c r="E55" s="2" t="s">
        <v>27</v>
      </c>
      <c r="F55" s="2" t="s">
        <v>22</v>
      </c>
      <c r="G55" s="4"/>
      <c r="H55" s="5">
        <v>45491</v>
      </c>
      <c r="I55" s="4"/>
      <c r="J55" s="4"/>
      <c r="K55" s="2">
        <v>112853</v>
      </c>
      <c r="L55" s="2">
        <v>368</v>
      </c>
      <c r="M55" s="4"/>
      <c r="N55" s="2" t="s">
        <v>172</v>
      </c>
      <c r="O55" s="2" t="s">
        <v>138</v>
      </c>
    </row>
    <row r="56" spans="1:15" ht="24" x14ac:dyDescent="0.25">
      <c r="A56" s="3">
        <v>296</v>
      </c>
      <c r="B56" s="2" t="s">
        <v>173</v>
      </c>
      <c r="C56" s="2" t="s">
        <v>19</v>
      </c>
      <c r="D56" s="2" t="s">
        <v>56</v>
      </c>
      <c r="E56" s="2" t="s">
        <v>27</v>
      </c>
      <c r="F56" s="2" t="s">
        <v>22</v>
      </c>
      <c r="G56" s="4"/>
      <c r="H56" s="5">
        <v>45506</v>
      </c>
      <c r="I56" s="5">
        <v>45506</v>
      </c>
      <c r="J56" s="2" t="s">
        <v>32</v>
      </c>
      <c r="K56" s="2">
        <v>115970</v>
      </c>
      <c r="L56" s="2">
        <v>370</v>
      </c>
      <c r="M56" s="2" t="s">
        <v>23</v>
      </c>
      <c r="N56" s="2" t="s">
        <v>174</v>
      </c>
      <c r="O56" s="2" t="s">
        <v>138</v>
      </c>
    </row>
    <row r="57" spans="1:15" ht="84" x14ac:dyDescent="0.25">
      <c r="A57" s="3">
        <v>297</v>
      </c>
      <c r="B57" s="2" t="s">
        <v>175</v>
      </c>
      <c r="C57" s="2" t="s">
        <v>19</v>
      </c>
      <c r="D57" s="2" t="s">
        <v>49</v>
      </c>
      <c r="E57" s="2" t="s">
        <v>21</v>
      </c>
      <c r="F57" s="2" t="s">
        <v>22</v>
      </c>
      <c r="G57" s="4"/>
      <c r="H57" s="5">
        <v>45518</v>
      </c>
      <c r="I57" s="5">
        <v>45518</v>
      </c>
      <c r="J57" s="2" t="s">
        <v>32</v>
      </c>
      <c r="K57" s="2">
        <v>117280</v>
      </c>
      <c r="L57" s="2">
        <v>371</v>
      </c>
      <c r="M57" s="2" t="s">
        <v>23</v>
      </c>
      <c r="N57" s="2" t="s">
        <v>176</v>
      </c>
      <c r="O57" s="2" t="s">
        <v>138</v>
      </c>
    </row>
    <row r="58" spans="1:15" ht="60" x14ac:dyDescent="0.25">
      <c r="A58" s="3">
        <v>256</v>
      </c>
      <c r="B58" s="2" t="s">
        <v>177</v>
      </c>
      <c r="C58" s="2" t="s">
        <v>19</v>
      </c>
      <c r="D58" s="2" t="s">
        <v>167</v>
      </c>
      <c r="E58" s="2" t="s">
        <v>27</v>
      </c>
      <c r="F58" s="2" t="s">
        <v>22</v>
      </c>
      <c r="G58" s="4"/>
      <c r="H58" s="5">
        <v>45461</v>
      </c>
      <c r="I58" s="5">
        <v>45462</v>
      </c>
      <c r="J58" s="2" t="s">
        <v>32</v>
      </c>
      <c r="K58" s="2">
        <v>112573</v>
      </c>
      <c r="L58" s="2">
        <v>359</v>
      </c>
      <c r="M58" s="2" t="s">
        <v>23</v>
      </c>
      <c r="N58" s="2" t="s">
        <v>178</v>
      </c>
      <c r="O58" s="2" t="s">
        <v>138</v>
      </c>
    </row>
    <row r="59" spans="1:15" ht="60" x14ac:dyDescent="0.25">
      <c r="A59" s="3">
        <v>257</v>
      </c>
      <c r="B59" s="2" t="s">
        <v>179</v>
      </c>
      <c r="C59" s="2" t="s">
        <v>19</v>
      </c>
      <c r="D59" s="2" t="s">
        <v>167</v>
      </c>
      <c r="E59" s="2" t="s">
        <v>27</v>
      </c>
      <c r="F59" s="2" t="s">
        <v>22</v>
      </c>
      <c r="G59" s="4"/>
      <c r="H59" s="5">
        <v>45462</v>
      </c>
      <c r="I59" s="5">
        <v>45462</v>
      </c>
      <c r="J59" s="2" t="s">
        <v>32</v>
      </c>
      <c r="K59" s="2">
        <v>114413</v>
      </c>
      <c r="L59" s="2">
        <v>360</v>
      </c>
      <c r="M59" s="2" t="s">
        <v>23</v>
      </c>
      <c r="N59" s="2" t="s">
        <v>180</v>
      </c>
      <c r="O59" s="2" t="s">
        <v>138</v>
      </c>
    </row>
    <row r="60" spans="1:15" ht="24" x14ac:dyDescent="0.25">
      <c r="A60" s="3">
        <v>281</v>
      </c>
      <c r="B60" s="2" t="s">
        <v>181</v>
      </c>
      <c r="C60" s="2" t="s">
        <v>19</v>
      </c>
      <c r="D60" s="2" t="s">
        <v>167</v>
      </c>
      <c r="E60" s="4"/>
      <c r="F60" s="2" t="s">
        <v>22</v>
      </c>
      <c r="G60" s="4"/>
      <c r="H60" s="5">
        <v>45482</v>
      </c>
      <c r="I60" s="5">
        <v>45482</v>
      </c>
      <c r="J60" s="2" t="s">
        <v>182</v>
      </c>
      <c r="K60" s="4"/>
      <c r="L60" s="2">
        <v>363</v>
      </c>
      <c r="M60" s="2" t="s">
        <v>23</v>
      </c>
      <c r="N60" s="2" t="s">
        <v>183</v>
      </c>
      <c r="O60" s="2" t="s">
        <v>138</v>
      </c>
    </row>
    <row r="61" spans="1:15" ht="24" x14ac:dyDescent="0.25">
      <c r="A61" s="3">
        <v>282</v>
      </c>
      <c r="B61" s="2" t="s">
        <v>184</v>
      </c>
      <c r="C61" s="2" t="s">
        <v>19</v>
      </c>
      <c r="D61" s="2" t="s">
        <v>56</v>
      </c>
      <c r="E61" s="4"/>
      <c r="F61" s="2" t="s">
        <v>22</v>
      </c>
      <c r="G61" s="2" t="s">
        <v>50</v>
      </c>
      <c r="H61" s="5">
        <v>45482</v>
      </c>
      <c r="I61" s="5">
        <v>45482</v>
      </c>
      <c r="J61" s="2" t="s">
        <v>32</v>
      </c>
      <c r="K61" s="4"/>
      <c r="L61" s="2">
        <v>364</v>
      </c>
      <c r="M61" s="2" t="s">
        <v>23</v>
      </c>
      <c r="N61" s="2" t="s">
        <v>185</v>
      </c>
      <c r="O61" s="2" t="s">
        <v>138</v>
      </c>
    </row>
    <row r="62" spans="1:15" ht="60" x14ac:dyDescent="0.25">
      <c r="A62" s="3">
        <v>255</v>
      </c>
      <c r="B62" s="2" t="s">
        <v>186</v>
      </c>
      <c r="C62" s="2" t="s">
        <v>19</v>
      </c>
      <c r="D62" s="2" t="s">
        <v>17</v>
      </c>
      <c r="E62" s="2" t="s">
        <v>27</v>
      </c>
      <c r="F62" s="2" t="s">
        <v>22</v>
      </c>
      <c r="G62" s="4"/>
      <c r="H62" s="5">
        <v>45454</v>
      </c>
      <c r="I62" s="5">
        <v>45455</v>
      </c>
      <c r="J62" s="4"/>
      <c r="K62" s="4"/>
      <c r="L62" s="2">
        <v>358</v>
      </c>
      <c r="M62" s="2" t="s">
        <v>23</v>
      </c>
      <c r="N62" s="2" t="s">
        <v>187</v>
      </c>
      <c r="O62" s="2" t="s">
        <v>138</v>
      </c>
    </row>
    <row r="63" spans="1:15" ht="36" x14ac:dyDescent="0.25">
      <c r="A63" s="3">
        <v>242</v>
      </c>
      <c r="B63" s="2" t="s">
        <v>188</v>
      </c>
      <c r="C63" s="2" t="s">
        <v>19</v>
      </c>
      <c r="D63" s="2" t="s">
        <v>26</v>
      </c>
      <c r="E63" s="2" t="s">
        <v>27</v>
      </c>
      <c r="F63" s="2" t="s">
        <v>22</v>
      </c>
      <c r="G63" s="4"/>
      <c r="H63" s="5">
        <v>45433</v>
      </c>
      <c r="I63" s="5">
        <v>45433</v>
      </c>
      <c r="J63" s="4"/>
      <c r="K63" s="4"/>
      <c r="L63" s="2">
        <v>349</v>
      </c>
      <c r="M63" s="2" t="s">
        <v>23</v>
      </c>
      <c r="N63" s="2" t="s">
        <v>189</v>
      </c>
      <c r="O63" s="2" t="s">
        <v>138</v>
      </c>
    </row>
    <row r="64" spans="1:15" ht="60" x14ac:dyDescent="0.25">
      <c r="A64" s="3">
        <v>308</v>
      </c>
      <c r="B64" s="2" t="s">
        <v>190</v>
      </c>
      <c r="C64" s="2" t="s">
        <v>19</v>
      </c>
      <c r="D64" s="2" t="s">
        <v>31</v>
      </c>
      <c r="E64" s="2" t="s">
        <v>27</v>
      </c>
      <c r="F64" s="2" t="s">
        <v>22</v>
      </c>
      <c r="G64" s="2" t="s">
        <v>53</v>
      </c>
      <c r="H64" s="5">
        <v>45548</v>
      </c>
      <c r="I64" s="4"/>
      <c r="J64" s="2" t="s">
        <v>78</v>
      </c>
      <c r="K64" s="4"/>
      <c r="L64" s="2">
        <v>372</v>
      </c>
      <c r="M64" s="2" t="s">
        <v>23</v>
      </c>
      <c r="N64" s="2" t="s">
        <v>191</v>
      </c>
      <c r="O64" s="2" t="s">
        <v>138</v>
      </c>
    </row>
    <row r="65" spans="1:15" ht="36" x14ac:dyDescent="0.25">
      <c r="A65" s="3">
        <v>311</v>
      </c>
      <c r="B65" s="2" t="s">
        <v>192</v>
      </c>
      <c r="C65" s="2" t="s">
        <v>19</v>
      </c>
      <c r="D65" s="2" t="s">
        <v>31</v>
      </c>
      <c r="E65" s="2" t="s">
        <v>27</v>
      </c>
      <c r="F65" s="2" t="s">
        <v>22</v>
      </c>
      <c r="G65" s="2" t="s">
        <v>53</v>
      </c>
      <c r="H65" s="5">
        <v>45541</v>
      </c>
      <c r="I65" s="5">
        <v>45544</v>
      </c>
      <c r="J65" s="2" t="s">
        <v>193</v>
      </c>
      <c r="K65" s="4"/>
      <c r="L65" s="2">
        <v>375</v>
      </c>
      <c r="M65" s="2" t="s">
        <v>23</v>
      </c>
      <c r="N65" s="2" t="s">
        <v>194</v>
      </c>
      <c r="O65" s="2" t="s">
        <v>138</v>
      </c>
    </row>
    <row r="66" spans="1:15" ht="48" x14ac:dyDescent="0.25">
      <c r="A66" s="3">
        <v>309</v>
      </c>
      <c r="B66" s="2" t="s">
        <v>195</v>
      </c>
      <c r="C66" s="2" t="s">
        <v>19</v>
      </c>
      <c r="D66" s="2" t="s">
        <v>31</v>
      </c>
      <c r="E66" s="2" t="s">
        <v>27</v>
      </c>
      <c r="F66" s="2" t="s">
        <v>22</v>
      </c>
      <c r="G66" s="2" t="s">
        <v>53</v>
      </c>
      <c r="H66" s="5">
        <v>45546</v>
      </c>
      <c r="I66" s="5">
        <v>45546</v>
      </c>
      <c r="J66" s="2" t="s">
        <v>79</v>
      </c>
      <c r="K66" s="4"/>
      <c r="L66" s="2">
        <v>373</v>
      </c>
      <c r="M66" s="2" t="s">
        <v>23</v>
      </c>
      <c r="N66" s="2" t="s">
        <v>196</v>
      </c>
      <c r="O66" s="2" t="s">
        <v>138</v>
      </c>
    </row>
    <row r="67" spans="1:15" ht="84" x14ac:dyDescent="0.25">
      <c r="A67" s="3">
        <v>312</v>
      </c>
      <c r="B67" s="2" t="s">
        <v>197</v>
      </c>
      <c r="C67" s="2" t="s">
        <v>19</v>
      </c>
      <c r="D67" s="2" t="s">
        <v>31</v>
      </c>
      <c r="E67" s="2" t="s">
        <v>27</v>
      </c>
      <c r="F67" s="2" t="s">
        <v>22</v>
      </c>
      <c r="G67" s="2" t="s">
        <v>53</v>
      </c>
      <c r="H67" s="5">
        <v>45540</v>
      </c>
      <c r="I67" s="5">
        <v>45540</v>
      </c>
      <c r="J67" s="2" t="s">
        <v>198</v>
      </c>
      <c r="K67" s="4"/>
      <c r="L67" s="2">
        <v>376</v>
      </c>
      <c r="M67" s="2" t="s">
        <v>23</v>
      </c>
      <c r="N67" s="2" t="s">
        <v>199</v>
      </c>
      <c r="O67" s="2" t="s">
        <v>138</v>
      </c>
    </row>
    <row r="68" spans="1:15" ht="36" x14ac:dyDescent="0.25">
      <c r="A68" s="3">
        <v>315</v>
      </c>
      <c r="B68" s="2" t="s">
        <v>200</v>
      </c>
      <c r="C68" s="2" t="s">
        <v>19</v>
      </c>
      <c r="D68" s="2" t="s">
        <v>49</v>
      </c>
      <c r="E68" s="2" t="s">
        <v>27</v>
      </c>
      <c r="F68" s="2" t="s">
        <v>22</v>
      </c>
      <c r="G68" s="4"/>
      <c r="H68" s="5">
        <v>45541</v>
      </c>
      <c r="I68" s="4"/>
      <c r="J68" s="2" t="s">
        <v>201</v>
      </c>
      <c r="K68" s="4"/>
      <c r="L68" s="2">
        <v>378</v>
      </c>
      <c r="M68" s="2" t="s">
        <v>23</v>
      </c>
      <c r="N68" s="2" t="s">
        <v>202</v>
      </c>
      <c r="O68" s="2" t="s">
        <v>138</v>
      </c>
    </row>
    <row r="69" spans="1:15" ht="84" x14ac:dyDescent="0.25">
      <c r="A69" s="3">
        <v>246</v>
      </c>
      <c r="B69" s="2" t="s">
        <v>203</v>
      </c>
      <c r="C69" s="2" t="s">
        <v>19</v>
      </c>
      <c r="D69" s="2" t="s">
        <v>49</v>
      </c>
      <c r="E69" s="2" t="s">
        <v>27</v>
      </c>
      <c r="F69" s="2" t="s">
        <v>22</v>
      </c>
      <c r="G69" s="2" t="s">
        <v>50</v>
      </c>
      <c r="H69" s="5">
        <v>45439</v>
      </c>
      <c r="I69" s="4"/>
      <c r="J69" s="2" t="s">
        <v>32</v>
      </c>
      <c r="K69" s="4"/>
      <c r="L69" s="2">
        <v>353</v>
      </c>
      <c r="M69" s="2" t="s">
        <v>23</v>
      </c>
      <c r="N69" s="2" t="s">
        <v>204</v>
      </c>
      <c r="O69" s="2" t="s">
        <v>138</v>
      </c>
    </row>
    <row r="70" spans="1:15" ht="36" x14ac:dyDescent="0.25">
      <c r="A70" s="3">
        <v>310</v>
      </c>
      <c r="B70" s="2" t="s">
        <v>205</v>
      </c>
      <c r="C70" s="2" t="s">
        <v>19</v>
      </c>
      <c r="D70" s="2" t="s">
        <v>49</v>
      </c>
      <c r="E70" s="2" t="s">
        <v>27</v>
      </c>
      <c r="F70" s="2" t="s">
        <v>206</v>
      </c>
      <c r="G70" s="4"/>
      <c r="H70" s="5">
        <v>45547</v>
      </c>
      <c r="I70" s="5">
        <v>45547</v>
      </c>
      <c r="J70" s="2" t="s">
        <v>198</v>
      </c>
      <c r="K70" s="4"/>
      <c r="L70" s="2">
        <v>374</v>
      </c>
      <c r="M70" s="2" t="s">
        <v>23</v>
      </c>
      <c r="N70" s="2" t="s">
        <v>207</v>
      </c>
      <c r="O70" s="2" t="s">
        <v>138</v>
      </c>
    </row>
    <row r="71" spans="1:15" ht="108" x14ac:dyDescent="0.25">
      <c r="A71" s="3">
        <v>234</v>
      </c>
      <c r="B71" s="2" t="s">
        <v>208</v>
      </c>
      <c r="C71" s="2" t="s">
        <v>19</v>
      </c>
      <c r="D71" s="2" t="s">
        <v>17</v>
      </c>
      <c r="E71" s="2" t="s">
        <v>21</v>
      </c>
      <c r="F71" s="2" t="s">
        <v>22</v>
      </c>
      <c r="G71" s="4"/>
      <c r="H71" s="5">
        <v>45411</v>
      </c>
      <c r="I71" s="4"/>
      <c r="J71" s="2" t="s">
        <v>32</v>
      </c>
      <c r="K71" s="2">
        <v>109586</v>
      </c>
      <c r="L71" s="2">
        <v>344</v>
      </c>
      <c r="M71" s="2" t="s">
        <v>23</v>
      </c>
      <c r="N71" s="2" t="s">
        <v>209</v>
      </c>
      <c r="O71" s="2" t="s">
        <v>138</v>
      </c>
    </row>
    <row r="72" spans="1:15" ht="24" x14ac:dyDescent="0.25">
      <c r="A72" s="3">
        <v>247</v>
      </c>
      <c r="B72" s="2" t="s">
        <v>210</v>
      </c>
      <c r="C72" s="2" t="s">
        <v>19</v>
      </c>
      <c r="D72" s="2" t="s">
        <v>26</v>
      </c>
      <c r="E72" s="2" t="s">
        <v>27</v>
      </c>
      <c r="F72" s="2" t="s">
        <v>22</v>
      </c>
      <c r="G72" s="4"/>
      <c r="H72" s="5">
        <v>45439</v>
      </c>
      <c r="I72" s="5">
        <v>45470</v>
      </c>
      <c r="J72" s="2" t="s">
        <v>32</v>
      </c>
      <c r="K72" s="4"/>
      <c r="L72" s="2">
        <v>354</v>
      </c>
      <c r="M72" s="2" t="s">
        <v>114</v>
      </c>
      <c r="N72" s="2" t="s">
        <v>211</v>
      </c>
      <c r="O72" s="2" t="s">
        <v>138</v>
      </c>
    </row>
    <row r="73" spans="1:15" ht="24" x14ac:dyDescent="0.25">
      <c r="A73" s="3">
        <v>300</v>
      </c>
      <c r="B73" s="2" t="s">
        <v>212</v>
      </c>
      <c r="C73" s="2" t="s">
        <v>19</v>
      </c>
      <c r="D73" s="2" t="s">
        <v>56</v>
      </c>
      <c r="E73" s="2" t="s">
        <v>27</v>
      </c>
      <c r="F73" s="2" t="s">
        <v>22</v>
      </c>
      <c r="G73" s="4"/>
      <c r="H73" s="5">
        <v>45527</v>
      </c>
      <c r="I73" s="5">
        <v>45530</v>
      </c>
      <c r="J73" s="4"/>
      <c r="K73" s="4"/>
      <c r="L73" s="2">
        <v>372</v>
      </c>
      <c r="M73" s="2" t="s">
        <v>23</v>
      </c>
      <c r="N73" s="2" t="s">
        <v>213</v>
      </c>
      <c r="O73" s="2" t="s">
        <v>138</v>
      </c>
    </row>
    <row r="74" spans="1:15" ht="48" x14ac:dyDescent="0.25">
      <c r="A74" s="3">
        <v>292</v>
      </c>
      <c r="B74" s="2" t="s">
        <v>214</v>
      </c>
      <c r="C74" s="2" t="s">
        <v>19</v>
      </c>
      <c r="D74" s="2" t="s">
        <v>167</v>
      </c>
      <c r="E74" s="4"/>
      <c r="F74" s="2" t="s">
        <v>22</v>
      </c>
      <c r="G74" s="4"/>
      <c r="H74" s="5">
        <v>45497</v>
      </c>
      <c r="I74" s="5">
        <v>45497</v>
      </c>
      <c r="J74" s="4"/>
      <c r="K74" s="4"/>
      <c r="L74" s="2">
        <v>369</v>
      </c>
      <c r="M74" s="2" t="s">
        <v>23</v>
      </c>
      <c r="N74" s="2" t="s">
        <v>215</v>
      </c>
      <c r="O74" s="2" t="s">
        <v>138</v>
      </c>
    </row>
    <row r="75" spans="1:15" ht="24" x14ac:dyDescent="0.25">
      <c r="A75" s="3">
        <v>276</v>
      </c>
      <c r="B75" s="2" t="s">
        <v>216</v>
      </c>
      <c r="C75" s="2" t="s">
        <v>19</v>
      </c>
      <c r="D75" s="2" t="s">
        <v>167</v>
      </c>
      <c r="E75" s="2" t="s">
        <v>27</v>
      </c>
      <c r="F75" s="2" t="s">
        <v>22</v>
      </c>
      <c r="G75" s="4"/>
      <c r="H75" s="5">
        <v>45476</v>
      </c>
      <c r="I75" s="5">
        <v>45476</v>
      </c>
      <c r="J75" s="2" t="s">
        <v>32</v>
      </c>
      <c r="K75" s="4"/>
      <c r="L75" s="2">
        <v>362</v>
      </c>
      <c r="M75" s="2" t="s">
        <v>23</v>
      </c>
      <c r="N75" s="2" t="s">
        <v>217</v>
      </c>
      <c r="O75" s="2" t="s">
        <v>138</v>
      </c>
    </row>
    <row r="76" spans="1:15" ht="24" x14ac:dyDescent="0.25">
      <c r="A76" s="3">
        <v>284</v>
      </c>
      <c r="B76" s="2" t="s">
        <v>218</v>
      </c>
      <c r="C76" s="2" t="s">
        <v>19</v>
      </c>
      <c r="D76" s="2" t="s">
        <v>167</v>
      </c>
      <c r="E76" s="2" t="s">
        <v>27</v>
      </c>
      <c r="F76" s="2" t="s">
        <v>22</v>
      </c>
      <c r="G76" s="4"/>
      <c r="H76" s="5">
        <v>45488</v>
      </c>
      <c r="I76" s="4"/>
      <c r="J76" s="2" t="s">
        <v>32</v>
      </c>
      <c r="K76" s="4"/>
      <c r="L76" s="2">
        <v>365</v>
      </c>
      <c r="M76" s="2" t="s">
        <v>23</v>
      </c>
      <c r="N76" s="2" t="s">
        <v>219</v>
      </c>
      <c r="O76" s="2" t="s">
        <v>138</v>
      </c>
    </row>
    <row r="77" spans="1:15" ht="36" x14ac:dyDescent="0.25">
      <c r="A77" s="3">
        <v>305</v>
      </c>
      <c r="B77" s="2" t="s">
        <v>220</v>
      </c>
      <c r="C77" s="2" t="s">
        <v>19</v>
      </c>
      <c r="D77" s="2" t="s">
        <v>56</v>
      </c>
      <c r="E77" s="2" t="s">
        <v>27</v>
      </c>
      <c r="F77" s="2" t="s">
        <v>22</v>
      </c>
      <c r="G77" s="4"/>
      <c r="H77" s="5">
        <v>45529</v>
      </c>
      <c r="I77" s="5">
        <v>45529</v>
      </c>
      <c r="J77" s="2" t="s">
        <v>32</v>
      </c>
      <c r="K77" s="4"/>
      <c r="L77" s="2">
        <v>373</v>
      </c>
      <c r="M77" s="2" t="s">
        <v>114</v>
      </c>
      <c r="N77" s="2" t="s">
        <v>221</v>
      </c>
      <c r="O77" s="2" t="s">
        <v>138</v>
      </c>
    </row>
    <row r="78" spans="1:15" ht="24" x14ac:dyDescent="0.25">
      <c r="A78" s="3">
        <v>325</v>
      </c>
      <c r="B78" s="2" t="s">
        <v>222</v>
      </c>
      <c r="C78" s="2" t="s">
        <v>19</v>
      </c>
      <c r="D78" s="2" t="s">
        <v>31</v>
      </c>
      <c r="E78" s="2" t="s">
        <v>27</v>
      </c>
      <c r="F78" s="2" t="s">
        <v>206</v>
      </c>
      <c r="G78" s="4"/>
      <c r="H78" s="5">
        <v>45553</v>
      </c>
      <c r="I78" s="5">
        <v>45553</v>
      </c>
      <c r="J78" s="2" t="s">
        <v>32</v>
      </c>
      <c r="K78" s="2">
        <v>118649</v>
      </c>
      <c r="L78" s="2">
        <v>381</v>
      </c>
      <c r="M78" s="2" t="s">
        <v>23</v>
      </c>
      <c r="N78" s="2" t="s">
        <v>223</v>
      </c>
      <c r="O78" s="2" t="s">
        <v>138</v>
      </c>
    </row>
    <row r="79" spans="1:15" ht="24" x14ac:dyDescent="0.25">
      <c r="A79" s="3">
        <v>214</v>
      </c>
      <c r="B79" s="2" t="s">
        <v>224</v>
      </c>
      <c r="C79" s="2" t="s">
        <v>19</v>
      </c>
      <c r="D79" s="2" t="s">
        <v>35</v>
      </c>
      <c r="E79" s="4"/>
      <c r="F79" s="2" t="s">
        <v>22</v>
      </c>
      <c r="G79" s="4"/>
      <c r="H79" s="5">
        <v>45369</v>
      </c>
      <c r="I79" s="4"/>
      <c r="J79" s="2" t="s">
        <v>62</v>
      </c>
      <c r="K79" s="4"/>
      <c r="L79" s="2">
        <v>315</v>
      </c>
      <c r="M79" s="2" t="s">
        <v>23</v>
      </c>
      <c r="N79" s="2" t="s">
        <v>225</v>
      </c>
      <c r="O79" s="2" t="s">
        <v>138</v>
      </c>
    </row>
    <row r="80" spans="1:15" ht="72" x14ac:dyDescent="0.25">
      <c r="A80" s="3">
        <v>199</v>
      </c>
      <c r="B80" s="2" t="s">
        <v>226</v>
      </c>
      <c r="C80" s="2" t="s">
        <v>19</v>
      </c>
      <c r="D80" s="2" t="s">
        <v>65</v>
      </c>
      <c r="E80" s="2" t="s">
        <v>27</v>
      </c>
      <c r="F80" s="2" t="s">
        <v>22</v>
      </c>
      <c r="G80" s="2" t="s">
        <v>227</v>
      </c>
      <c r="H80" s="5">
        <v>45327</v>
      </c>
      <c r="I80" s="5">
        <v>45327</v>
      </c>
      <c r="J80" s="2" t="s">
        <v>79</v>
      </c>
      <c r="K80" s="4"/>
      <c r="L80" s="2">
        <v>318</v>
      </c>
      <c r="M80" s="2" t="s">
        <v>114</v>
      </c>
      <c r="N80" s="2" t="s">
        <v>228</v>
      </c>
      <c r="O80" s="2" t="s">
        <v>138</v>
      </c>
    </row>
    <row r="81" spans="1:15" ht="48" x14ac:dyDescent="0.25">
      <c r="A81" s="3">
        <v>204</v>
      </c>
      <c r="B81" s="2" t="s">
        <v>229</v>
      </c>
      <c r="C81" s="2" t="s">
        <v>19</v>
      </c>
      <c r="D81" s="2" t="s">
        <v>65</v>
      </c>
      <c r="E81" s="4"/>
      <c r="F81" s="2" t="s">
        <v>22</v>
      </c>
      <c r="G81" s="2" t="s">
        <v>227</v>
      </c>
      <c r="H81" s="5">
        <v>45331</v>
      </c>
      <c r="I81" s="5">
        <v>45331</v>
      </c>
      <c r="J81" s="2" t="s">
        <v>79</v>
      </c>
      <c r="K81" s="4"/>
      <c r="L81" s="2">
        <v>323</v>
      </c>
      <c r="M81" s="2" t="s">
        <v>23</v>
      </c>
      <c r="N81" s="2" t="s">
        <v>230</v>
      </c>
      <c r="O81" s="2" t="s">
        <v>138</v>
      </c>
    </row>
    <row r="82" spans="1:15" ht="48" x14ac:dyDescent="0.25">
      <c r="A82" s="3">
        <v>205</v>
      </c>
      <c r="B82" s="2" t="s">
        <v>231</v>
      </c>
      <c r="C82" s="2" t="s">
        <v>19</v>
      </c>
      <c r="D82" s="2" t="s">
        <v>65</v>
      </c>
      <c r="E82" s="4"/>
      <c r="F82" s="2" t="s">
        <v>22</v>
      </c>
      <c r="G82" s="4"/>
      <c r="H82" s="5">
        <v>45334</v>
      </c>
      <c r="I82" s="5">
        <v>45334</v>
      </c>
      <c r="J82" s="4"/>
      <c r="K82" s="4"/>
      <c r="L82" s="2">
        <v>323</v>
      </c>
      <c r="M82" s="2" t="s">
        <v>23</v>
      </c>
      <c r="N82" s="2" t="s">
        <v>232</v>
      </c>
      <c r="O82" s="2" t="s">
        <v>138</v>
      </c>
    </row>
    <row r="83" spans="1:15" ht="108" x14ac:dyDescent="0.25">
      <c r="A83" s="3">
        <v>208</v>
      </c>
      <c r="B83" s="2" t="s">
        <v>233</v>
      </c>
      <c r="C83" s="2" t="s">
        <v>19</v>
      </c>
      <c r="D83" s="2" t="s">
        <v>35</v>
      </c>
      <c r="E83" s="4"/>
      <c r="F83" s="2" t="s">
        <v>22</v>
      </c>
      <c r="G83" s="2" t="s">
        <v>69</v>
      </c>
      <c r="H83" s="5">
        <v>45343</v>
      </c>
      <c r="I83" s="4"/>
      <c r="J83" s="2" t="s">
        <v>62</v>
      </c>
      <c r="K83" s="2">
        <v>100721</v>
      </c>
      <c r="L83" s="2">
        <v>325</v>
      </c>
      <c r="M83" s="2" t="s">
        <v>23</v>
      </c>
      <c r="N83" s="2" t="s">
        <v>234</v>
      </c>
      <c r="O83" s="2" t="s">
        <v>138</v>
      </c>
    </row>
    <row r="84" spans="1:15" ht="36" x14ac:dyDescent="0.25">
      <c r="A84" s="3">
        <v>215</v>
      </c>
      <c r="B84" s="2" t="s">
        <v>235</v>
      </c>
      <c r="C84" s="2" t="s">
        <v>19</v>
      </c>
      <c r="D84" s="2" t="s">
        <v>35</v>
      </c>
      <c r="E84" s="4"/>
      <c r="F84" s="2" t="s">
        <v>22</v>
      </c>
      <c r="G84" s="4"/>
      <c r="H84" s="5">
        <v>45370</v>
      </c>
      <c r="I84" s="4"/>
      <c r="J84" s="2" t="s">
        <v>62</v>
      </c>
      <c r="K84" s="2">
        <v>328</v>
      </c>
      <c r="L84" s="4"/>
      <c r="M84" s="2" t="s">
        <v>114</v>
      </c>
      <c r="N84" s="2" t="s">
        <v>236</v>
      </c>
      <c r="O84" s="2" t="s">
        <v>138</v>
      </c>
    </row>
    <row r="85" spans="1:15" ht="36" x14ac:dyDescent="0.25">
      <c r="A85" s="3">
        <v>206</v>
      </c>
      <c r="B85" s="2" t="s">
        <v>237</v>
      </c>
      <c r="C85" s="2" t="s">
        <v>19</v>
      </c>
      <c r="D85" s="2" t="s">
        <v>65</v>
      </c>
      <c r="E85" s="4"/>
      <c r="F85" s="2" t="s">
        <v>22</v>
      </c>
      <c r="G85" s="2" t="s">
        <v>227</v>
      </c>
      <c r="H85" s="5">
        <v>45337</v>
      </c>
      <c r="I85" s="5">
        <v>45337</v>
      </c>
      <c r="J85" s="4"/>
      <c r="K85" s="4"/>
      <c r="L85" s="2">
        <v>323</v>
      </c>
      <c r="M85" s="2" t="s">
        <v>23</v>
      </c>
      <c r="N85" s="2" t="s">
        <v>238</v>
      </c>
      <c r="O85" s="2" t="s">
        <v>138</v>
      </c>
    </row>
    <row r="86" spans="1:15" ht="72" x14ac:dyDescent="0.25">
      <c r="A86" s="3">
        <v>168</v>
      </c>
      <c r="B86" s="2" t="s">
        <v>239</v>
      </c>
      <c r="C86" s="2" t="s">
        <v>19</v>
      </c>
      <c r="D86" s="2" t="s">
        <v>65</v>
      </c>
      <c r="E86" s="2" t="s">
        <v>27</v>
      </c>
      <c r="F86" s="2" t="s">
        <v>22</v>
      </c>
      <c r="G86" s="2" t="s">
        <v>133</v>
      </c>
      <c r="H86" s="5">
        <v>45315</v>
      </c>
      <c r="I86" s="5">
        <v>45324</v>
      </c>
      <c r="J86" s="2" t="s">
        <v>79</v>
      </c>
      <c r="K86" s="2">
        <v>96077</v>
      </c>
      <c r="L86" s="2">
        <v>297</v>
      </c>
      <c r="M86" s="2" t="s">
        <v>23</v>
      </c>
      <c r="N86" s="2" t="s">
        <v>240</v>
      </c>
      <c r="O86" s="2" t="s">
        <v>138</v>
      </c>
    </row>
    <row r="87" spans="1:15" ht="36" x14ac:dyDescent="0.25">
      <c r="A87" s="3">
        <v>172</v>
      </c>
      <c r="B87" s="2" t="s">
        <v>241</v>
      </c>
      <c r="C87" s="2" t="s">
        <v>19</v>
      </c>
      <c r="D87" s="2" t="s">
        <v>122</v>
      </c>
      <c r="E87" s="2" t="s">
        <v>27</v>
      </c>
      <c r="F87" s="2" t="s">
        <v>22</v>
      </c>
      <c r="G87" s="2" t="s">
        <v>133</v>
      </c>
      <c r="H87" s="5">
        <v>45315</v>
      </c>
      <c r="I87" s="5">
        <v>45317</v>
      </c>
      <c r="J87" s="2" t="s">
        <v>79</v>
      </c>
      <c r="K87" s="2" t="s">
        <v>242</v>
      </c>
      <c r="L87" s="2">
        <v>290</v>
      </c>
      <c r="M87" s="2" t="s">
        <v>23</v>
      </c>
      <c r="N87" s="2" t="s">
        <v>243</v>
      </c>
      <c r="O87" s="2" t="s">
        <v>138</v>
      </c>
    </row>
    <row r="88" spans="1:15" ht="24" x14ac:dyDescent="0.25">
      <c r="A88" s="3">
        <v>170</v>
      </c>
      <c r="B88" s="2" t="s">
        <v>244</v>
      </c>
      <c r="C88" s="2" t="s">
        <v>19</v>
      </c>
      <c r="D88" s="2" t="s">
        <v>122</v>
      </c>
      <c r="E88" s="2" t="s">
        <v>27</v>
      </c>
      <c r="F88" s="2" t="s">
        <v>22</v>
      </c>
      <c r="G88" s="2" t="s">
        <v>133</v>
      </c>
      <c r="H88" s="5">
        <v>45314</v>
      </c>
      <c r="I88" s="5">
        <v>45317</v>
      </c>
      <c r="J88" s="2" t="s">
        <v>79</v>
      </c>
      <c r="K88" s="2" t="s">
        <v>245</v>
      </c>
      <c r="L88" s="2">
        <v>291</v>
      </c>
      <c r="M88" s="2" t="s">
        <v>23</v>
      </c>
      <c r="N88" s="2" t="s">
        <v>246</v>
      </c>
      <c r="O88" s="2" t="s">
        <v>138</v>
      </c>
    </row>
    <row r="89" spans="1:15" ht="36" x14ac:dyDescent="0.25">
      <c r="A89" s="3">
        <v>209</v>
      </c>
      <c r="B89" s="2" t="s">
        <v>247</v>
      </c>
      <c r="C89" s="2" t="s">
        <v>19</v>
      </c>
      <c r="D89" s="2" t="s">
        <v>65</v>
      </c>
      <c r="E89" s="4"/>
      <c r="F89" s="2" t="s">
        <v>22</v>
      </c>
      <c r="G89" s="4"/>
      <c r="H89" s="5">
        <v>45348</v>
      </c>
      <c r="I89" s="5">
        <v>45349</v>
      </c>
      <c r="J89" s="4"/>
      <c r="K89" s="4"/>
      <c r="L89" s="2">
        <v>326</v>
      </c>
      <c r="M89" s="2" t="s">
        <v>23</v>
      </c>
      <c r="N89" s="2" t="s">
        <v>248</v>
      </c>
      <c r="O89" s="2" t="s">
        <v>138</v>
      </c>
    </row>
    <row r="90" spans="1:15" ht="36" x14ac:dyDescent="0.25">
      <c r="A90" s="3">
        <v>202</v>
      </c>
      <c r="B90" s="2" t="s">
        <v>249</v>
      </c>
      <c r="C90" s="2" t="s">
        <v>19</v>
      </c>
      <c r="D90" s="2" t="s">
        <v>65</v>
      </c>
      <c r="E90" s="4"/>
      <c r="F90" s="2" t="s">
        <v>22</v>
      </c>
      <c r="G90" s="2" t="s">
        <v>69</v>
      </c>
      <c r="H90" s="5">
        <v>45329</v>
      </c>
      <c r="I90" s="4"/>
      <c r="J90" s="4"/>
      <c r="K90" s="2" t="s">
        <v>79</v>
      </c>
      <c r="L90" s="2">
        <v>320</v>
      </c>
      <c r="M90" s="2" t="s">
        <v>23</v>
      </c>
      <c r="N90" s="2" t="s">
        <v>250</v>
      </c>
      <c r="O90" s="2" t="s">
        <v>138</v>
      </c>
    </row>
    <row r="91" spans="1:15" ht="36" x14ac:dyDescent="0.25">
      <c r="A91" s="3">
        <v>201</v>
      </c>
      <c r="B91" s="2" t="s">
        <v>251</v>
      </c>
      <c r="C91" s="2" t="s">
        <v>19</v>
      </c>
      <c r="D91" s="2" t="s">
        <v>65</v>
      </c>
      <c r="E91" s="2" t="s">
        <v>27</v>
      </c>
      <c r="F91" s="2" t="s">
        <v>22</v>
      </c>
      <c r="G91" s="2" t="s">
        <v>69</v>
      </c>
      <c r="H91" s="5">
        <v>45329</v>
      </c>
      <c r="I91" s="4"/>
      <c r="J91" s="4"/>
      <c r="K91" s="2" t="s">
        <v>79</v>
      </c>
      <c r="L91" s="2">
        <v>320</v>
      </c>
      <c r="M91" s="2" t="s">
        <v>114</v>
      </c>
      <c r="N91" s="2" t="s">
        <v>252</v>
      </c>
      <c r="O91" s="2" t="s">
        <v>138</v>
      </c>
    </row>
    <row r="92" spans="1:15" ht="36" x14ac:dyDescent="0.25">
      <c r="A92" s="3">
        <v>198</v>
      </c>
      <c r="B92" s="2" t="s">
        <v>253</v>
      </c>
      <c r="C92" s="2" t="s">
        <v>19</v>
      </c>
      <c r="D92" s="2" t="s">
        <v>65</v>
      </c>
      <c r="E92" s="4"/>
      <c r="F92" s="2" t="s">
        <v>22</v>
      </c>
      <c r="G92" s="2" t="s">
        <v>69</v>
      </c>
      <c r="H92" s="5">
        <v>45315</v>
      </c>
      <c r="I92" s="4"/>
      <c r="J92" s="2" t="s">
        <v>79</v>
      </c>
      <c r="K92" s="4"/>
      <c r="L92" s="2">
        <v>296</v>
      </c>
      <c r="M92" s="2" t="s">
        <v>23</v>
      </c>
      <c r="N92" s="2" t="s">
        <v>254</v>
      </c>
      <c r="O92" s="2" t="s">
        <v>138</v>
      </c>
    </row>
    <row r="93" spans="1:15" ht="36" x14ac:dyDescent="0.25">
      <c r="A93" s="3">
        <v>164</v>
      </c>
      <c r="B93" s="2" t="s">
        <v>255</v>
      </c>
      <c r="C93" s="2" t="s">
        <v>19</v>
      </c>
      <c r="D93" s="2" t="s">
        <v>65</v>
      </c>
      <c r="E93" s="2" t="s">
        <v>27</v>
      </c>
      <c r="F93" s="2" t="s">
        <v>22</v>
      </c>
      <c r="G93" s="2" t="s">
        <v>69</v>
      </c>
      <c r="H93" s="5">
        <v>45315</v>
      </c>
      <c r="I93" s="4"/>
      <c r="J93" s="2" t="s">
        <v>79</v>
      </c>
      <c r="K93" s="4"/>
      <c r="L93" s="2">
        <v>293</v>
      </c>
      <c r="M93" s="2" t="s">
        <v>23</v>
      </c>
      <c r="N93" s="2" t="s">
        <v>256</v>
      </c>
      <c r="O93" s="2" t="s">
        <v>138</v>
      </c>
    </row>
    <row r="94" spans="1:15" ht="36" x14ac:dyDescent="0.25">
      <c r="A94" s="3">
        <v>165</v>
      </c>
      <c r="B94" s="2" t="s">
        <v>257</v>
      </c>
      <c r="C94" s="2" t="s">
        <v>19</v>
      </c>
      <c r="D94" s="2" t="s">
        <v>65</v>
      </c>
      <c r="E94" s="2" t="s">
        <v>27</v>
      </c>
      <c r="F94" s="2" t="s">
        <v>22</v>
      </c>
      <c r="G94" s="2" t="s">
        <v>69</v>
      </c>
      <c r="H94" s="5">
        <v>45315</v>
      </c>
      <c r="I94" s="4"/>
      <c r="J94" s="2" t="s">
        <v>79</v>
      </c>
      <c r="K94" s="4"/>
      <c r="L94" s="2">
        <v>294</v>
      </c>
      <c r="M94" s="2" t="s">
        <v>23</v>
      </c>
      <c r="N94" s="2" t="s">
        <v>258</v>
      </c>
      <c r="O94" s="2" t="s">
        <v>138</v>
      </c>
    </row>
    <row r="95" spans="1:15" ht="36" x14ac:dyDescent="0.25">
      <c r="A95" s="3">
        <v>195</v>
      </c>
      <c r="B95" s="2" t="s">
        <v>259</v>
      </c>
      <c r="C95" s="2" t="s">
        <v>19</v>
      </c>
      <c r="D95" s="2" t="s">
        <v>65</v>
      </c>
      <c r="E95" s="2" t="s">
        <v>27</v>
      </c>
      <c r="F95" s="2" t="s">
        <v>22</v>
      </c>
      <c r="G95" s="2" t="s">
        <v>69</v>
      </c>
      <c r="H95" s="5">
        <v>45321</v>
      </c>
      <c r="I95" s="4"/>
      <c r="J95" s="2" t="s">
        <v>79</v>
      </c>
      <c r="K95" s="4"/>
      <c r="L95" s="2">
        <v>316</v>
      </c>
      <c r="M95" s="2" t="s">
        <v>23</v>
      </c>
      <c r="N95" s="2" t="s">
        <v>260</v>
      </c>
      <c r="O95" s="2" t="s">
        <v>138</v>
      </c>
    </row>
    <row r="96" spans="1:15" ht="60" x14ac:dyDescent="0.25">
      <c r="A96" s="3">
        <v>174</v>
      </c>
      <c r="B96" s="2" t="s">
        <v>261</v>
      </c>
      <c r="C96" s="2" t="s">
        <v>19</v>
      </c>
      <c r="D96" s="2" t="s">
        <v>65</v>
      </c>
      <c r="E96" s="2" t="s">
        <v>27</v>
      </c>
      <c r="F96" s="2" t="s">
        <v>22</v>
      </c>
      <c r="G96" s="2" t="s">
        <v>69</v>
      </c>
      <c r="H96" s="5">
        <v>45315</v>
      </c>
      <c r="I96" s="4"/>
      <c r="J96" s="2" t="s">
        <v>79</v>
      </c>
      <c r="K96" s="4"/>
      <c r="L96" s="2">
        <v>301</v>
      </c>
      <c r="M96" s="2" t="s">
        <v>23</v>
      </c>
      <c r="N96" s="2" t="s">
        <v>262</v>
      </c>
      <c r="O96" s="2" t="s">
        <v>138</v>
      </c>
    </row>
    <row r="97" spans="1:15" ht="24" x14ac:dyDescent="0.25">
      <c r="A97" s="3">
        <v>162</v>
      </c>
      <c r="B97" s="2" t="s">
        <v>263</v>
      </c>
      <c r="C97" s="2" t="s">
        <v>19</v>
      </c>
      <c r="D97" s="2" t="s">
        <v>65</v>
      </c>
      <c r="E97" s="2" t="s">
        <v>27</v>
      </c>
      <c r="F97" s="2" t="s">
        <v>22</v>
      </c>
      <c r="G97" s="2" t="s">
        <v>69</v>
      </c>
      <c r="H97" s="5">
        <v>45315</v>
      </c>
      <c r="I97" s="5">
        <v>45315</v>
      </c>
      <c r="J97" s="2" t="s">
        <v>79</v>
      </c>
      <c r="K97" s="4"/>
      <c r="L97" s="2">
        <v>292</v>
      </c>
      <c r="M97" s="2" t="s">
        <v>23</v>
      </c>
      <c r="N97" s="2" t="s">
        <v>264</v>
      </c>
      <c r="O97" s="2" t="s">
        <v>138</v>
      </c>
    </row>
    <row r="98" spans="1:15" ht="48" x14ac:dyDescent="0.25">
      <c r="A98" s="3">
        <v>231</v>
      </c>
      <c r="B98" s="2" t="s">
        <v>265</v>
      </c>
      <c r="C98" s="2" t="s">
        <v>19</v>
      </c>
      <c r="D98" s="2" t="s">
        <v>26</v>
      </c>
      <c r="E98" s="2" t="s">
        <v>27</v>
      </c>
      <c r="F98" s="2" t="s">
        <v>22</v>
      </c>
      <c r="G98" s="4"/>
      <c r="H98" s="5">
        <v>45406</v>
      </c>
      <c r="I98" s="5">
        <v>45433</v>
      </c>
      <c r="J98" s="2" t="s">
        <v>105</v>
      </c>
      <c r="K98" s="4"/>
      <c r="L98" s="2">
        <v>341</v>
      </c>
      <c r="M98" s="2" t="s">
        <v>114</v>
      </c>
      <c r="N98" s="2" t="s">
        <v>266</v>
      </c>
      <c r="O98" s="2" t="s">
        <v>138</v>
      </c>
    </row>
    <row r="99" spans="1:15" ht="36" x14ac:dyDescent="0.25">
      <c r="A99" s="3">
        <v>212</v>
      </c>
      <c r="B99" s="2" t="s">
        <v>267</v>
      </c>
      <c r="C99" s="2" t="s">
        <v>19</v>
      </c>
      <c r="D99" s="2" t="s">
        <v>35</v>
      </c>
      <c r="E99" s="4"/>
      <c r="F99" s="2" t="s">
        <v>22</v>
      </c>
      <c r="G99" s="2" t="s">
        <v>61</v>
      </c>
      <c r="H99" s="5">
        <v>45356</v>
      </c>
      <c r="I99" s="4"/>
      <c r="J99" s="2" t="s">
        <v>182</v>
      </c>
      <c r="K99" s="4"/>
      <c r="L99" s="2">
        <v>327</v>
      </c>
      <c r="M99" s="2" t="s">
        <v>23</v>
      </c>
      <c r="N99" s="2" t="s">
        <v>268</v>
      </c>
      <c r="O99" s="2" t="s">
        <v>138</v>
      </c>
    </row>
    <row r="100" spans="1:15" ht="24" x14ac:dyDescent="0.25">
      <c r="A100" s="3">
        <v>211</v>
      </c>
      <c r="B100" s="2" t="s">
        <v>269</v>
      </c>
      <c r="C100" s="2" t="s">
        <v>19</v>
      </c>
      <c r="D100" s="2" t="s">
        <v>35</v>
      </c>
      <c r="E100" s="4"/>
      <c r="F100" s="2" t="s">
        <v>22</v>
      </c>
      <c r="G100" s="2" t="s">
        <v>61</v>
      </c>
      <c r="H100" s="5">
        <v>45356</v>
      </c>
      <c r="I100" s="4"/>
      <c r="J100" s="2" t="s">
        <v>79</v>
      </c>
      <c r="K100" s="4"/>
      <c r="L100" s="2">
        <v>326</v>
      </c>
      <c r="M100" s="2" t="s">
        <v>23</v>
      </c>
      <c r="N100" s="2" t="s">
        <v>270</v>
      </c>
      <c r="O100" s="2" t="s">
        <v>138</v>
      </c>
    </row>
    <row r="101" spans="1:15" ht="36" x14ac:dyDescent="0.25">
      <c r="A101" s="3">
        <v>196</v>
      </c>
      <c r="B101" s="2" t="s">
        <v>271</v>
      </c>
      <c r="C101" s="2" t="s">
        <v>19</v>
      </c>
      <c r="D101" s="2" t="s">
        <v>65</v>
      </c>
      <c r="E101" s="4"/>
      <c r="F101" s="2" t="s">
        <v>22</v>
      </c>
      <c r="G101" s="2" t="s">
        <v>133</v>
      </c>
      <c r="H101" s="5">
        <v>45323</v>
      </c>
      <c r="I101" s="5">
        <v>45331</v>
      </c>
      <c r="J101" s="2" t="s">
        <v>79</v>
      </c>
      <c r="K101" s="2">
        <v>98637</v>
      </c>
      <c r="L101" s="2">
        <v>317</v>
      </c>
      <c r="M101" s="2" t="s">
        <v>23</v>
      </c>
      <c r="N101" s="2" t="s">
        <v>272</v>
      </c>
      <c r="O101" s="2" t="s">
        <v>138</v>
      </c>
    </row>
    <row r="102" spans="1:15" ht="36" x14ac:dyDescent="0.25">
      <c r="A102" s="3">
        <v>171</v>
      </c>
      <c r="B102" s="2" t="s">
        <v>273</v>
      </c>
      <c r="C102" s="2" t="s">
        <v>19</v>
      </c>
      <c r="D102" s="2" t="s">
        <v>65</v>
      </c>
      <c r="E102" s="2" t="s">
        <v>27</v>
      </c>
      <c r="F102" s="2" t="s">
        <v>22</v>
      </c>
      <c r="G102" s="2" t="s">
        <v>133</v>
      </c>
      <c r="H102" s="5">
        <v>45315</v>
      </c>
      <c r="I102" s="5">
        <v>45328</v>
      </c>
      <c r="J102" s="2" t="s">
        <v>79</v>
      </c>
      <c r="K102" s="4"/>
      <c r="L102" s="2">
        <v>299</v>
      </c>
      <c r="M102" s="2" t="s">
        <v>23</v>
      </c>
      <c r="N102" s="2" t="s">
        <v>274</v>
      </c>
      <c r="O102" s="2" t="s">
        <v>138</v>
      </c>
    </row>
    <row r="103" spans="1:15" ht="24" x14ac:dyDescent="0.25">
      <c r="A103" s="3">
        <v>167</v>
      </c>
      <c r="B103" s="2" t="s">
        <v>275</v>
      </c>
      <c r="C103" s="2" t="s">
        <v>19</v>
      </c>
      <c r="D103" s="2" t="s">
        <v>65</v>
      </c>
      <c r="E103" s="2" t="s">
        <v>27</v>
      </c>
      <c r="F103" s="2" t="s">
        <v>22</v>
      </c>
      <c r="G103" s="2" t="s">
        <v>69</v>
      </c>
      <c r="H103" s="5">
        <v>45315</v>
      </c>
      <c r="I103" s="4"/>
      <c r="J103" s="2" t="s">
        <v>79</v>
      </c>
      <c r="K103" s="4"/>
      <c r="L103" s="2">
        <v>296</v>
      </c>
      <c r="M103" s="2" t="s">
        <v>114</v>
      </c>
      <c r="N103" s="2" t="s">
        <v>276</v>
      </c>
      <c r="O103" s="2" t="s">
        <v>138</v>
      </c>
    </row>
    <row r="104" spans="1:15" ht="48" x14ac:dyDescent="0.25">
      <c r="A104" s="3">
        <v>173</v>
      </c>
      <c r="B104" s="2" t="s">
        <v>277</v>
      </c>
      <c r="C104" s="2" t="s">
        <v>19</v>
      </c>
      <c r="D104" s="2" t="s">
        <v>65</v>
      </c>
      <c r="E104" s="2" t="s">
        <v>27</v>
      </c>
      <c r="F104" s="2" t="s">
        <v>22</v>
      </c>
      <c r="G104" s="4"/>
      <c r="H104" s="5">
        <v>45315</v>
      </c>
      <c r="I104" s="4"/>
      <c r="J104" s="2" t="s">
        <v>79</v>
      </c>
      <c r="K104" s="4"/>
      <c r="L104" s="2">
        <v>300</v>
      </c>
      <c r="M104" s="2" t="s">
        <v>114</v>
      </c>
      <c r="N104" s="2" t="s">
        <v>278</v>
      </c>
      <c r="O104" s="2" t="s">
        <v>138</v>
      </c>
    </row>
  </sheetData>
  <autoFilter ref="A1:O104" xr:uid="{D113E505-DDB9-4F0E-A6F2-639E8D47137B}"/>
  <hyperlinks>
    <hyperlink ref="A2" r:id="rId1" display="https://dev.azure.com/SycSistemas/833274e7-44d5-4093-8f90-9bab7903e605/_workitems/edit/226" xr:uid="{E1344715-59EF-4DA5-8ADC-0B51F3BB3286}"/>
    <hyperlink ref="A3" r:id="rId2" display="https://dev.azure.com/SycSistemas/833274e7-44d5-4093-8f90-9bab7903e605/_workitems/edit/241" xr:uid="{0F9B1DD1-0BFF-471F-A7A9-FB9D27316566}"/>
    <hyperlink ref="A4" r:id="rId3" display="https://dev.azure.com/SycSistemas/833274e7-44d5-4093-8f90-9bab7903e605/_workitems/edit/314" xr:uid="{645CF26D-589B-464D-8192-6213E38AA7DF}"/>
    <hyperlink ref="A5" r:id="rId4" display="https://dev.azure.com/SycSistemas/833274e7-44d5-4093-8f90-9bab7903e605/_workitems/edit/203" xr:uid="{787939D0-15F8-4DC9-AAA9-ABC3C41A5C0B}"/>
    <hyperlink ref="A6" r:id="rId5" display="https://dev.azure.com/SycSistemas/833274e7-44d5-4093-8f90-9bab7903e605/_workitems/edit/169" xr:uid="{8879E57D-6F15-42C5-BE78-698412B0110B}"/>
    <hyperlink ref="A7" r:id="rId6" display="https://dev.azure.com/SycSistemas/833274e7-44d5-4093-8f90-9bab7903e605/_workitems/edit/216" xr:uid="{73A09643-013C-4E50-956D-3470613F1446}"/>
    <hyperlink ref="A8" r:id="rId7" display="https://dev.azure.com/SycSistemas/833274e7-44d5-4093-8f90-9bab7903e605/_workitems/edit/235" xr:uid="{2E95BA08-0D9C-4EEF-B225-0FF522120A03}"/>
    <hyperlink ref="A9" r:id="rId8" display="https://dev.azure.com/SycSistemas/833274e7-44d5-4093-8f90-9bab7903e605/_workitems/edit/245" xr:uid="{2EFE9090-234A-4890-9C0C-2F939ECD4843}"/>
    <hyperlink ref="A10" r:id="rId9" display="https://dev.azure.com/SycSistemas/833274e7-44d5-4093-8f90-9bab7903e605/_workitems/edit/285" xr:uid="{249D9016-A8E3-42A9-9309-CB0A076A86ED}"/>
    <hyperlink ref="A11" r:id="rId10" display="https://dev.azure.com/SycSistemas/833274e7-44d5-4093-8f90-9bab7903e605/_workitems/edit/316" xr:uid="{6F8B5D24-63AA-487A-B7E0-24AC140578FE}"/>
    <hyperlink ref="A12" r:id="rId11" display="https://dev.azure.com/SycSistemas/833274e7-44d5-4093-8f90-9bab7903e605/_workitems/edit/290" xr:uid="{40A807AE-5DA2-437F-9DA1-0D052FA6FBFB}"/>
    <hyperlink ref="A13" r:id="rId12" display="https://dev.azure.com/SycSistemas/833274e7-44d5-4093-8f90-9bab7903e605/_workitems/edit/213" xr:uid="{1AC9F065-0AA4-46CC-A62D-CD96587E9907}"/>
    <hyperlink ref="A14" r:id="rId13" display="https://dev.azure.com/SycSistemas/833274e7-44d5-4093-8f90-9bab7903e605/_workitems/edit/207" xr:uid="{7F6A2607-0539-4879-BF3A-CA48BAB828D4}"/>
    <hyperlink ref="A15" r:id="rId14" display="https://dev.azure.com/SycSistemas/833274e7-44d5-4093-8f90-9bab7903e605/_workitems/edit/200" xr:uid="{850D8F25-CA6C-45CD-9C9E-148FB252B377}"/>
    <hyperlink ref="A16" r:id="rId15" display="https://dev.azure.com/SycSistemas/833274e7-44d5-4093-8f90-9bab7903e605/_workitems/edit/248" xr:uid="{494B31A8-F61D-4C61-BF5A-11428286A569}"/>
    <hyperlink ref="A17" r:id="rId16" display="https://dev.azure.com/SycSistemas/833274e7-44d5-4093-8f90-9bab7903e605/_workitems/edit/194" xr:uid="{EEFFCBA3-B8C5-46C0-BA3B-12BEAC2BD915}"/>
    <hyperlink ref="A18" r:id="rId17" display="https://dev.azure.com/SycSistemas/833274e7-44d5-4093-8f90-9bab7903e605/_workitems/edit/223" xr:uid="{8FE66F77-93E9-487F-B5E5-5267FCBFA10A}"/>
    <hyperlink ref="N18" r:id="rId18" display="https://sdk.wialon.com/wiki/en/sidebar/remoteapi/apiref/report/cleanup_result" xr:uid="{5CDEA38C-5D2B-41D9-AE1C-7770B287FA05}"/>
    <hyperlink ref="A19" r:id="rId19" display="https://dev.azure.com/SycSistemas/833274e7-44d5-4093-8f90-9bab7903e605/_workitems/edit/190" xr:uid="{8B1E7130-07FD-4556-AC5B-006C0A1DC749}"/>
    <hyperlink ref="A20" r:id="rId20" display="https://dev.azure.com/SycSistemas/833274e7-44d5-4093-8f90-9bab7903e605/_workitems/edit/183" xr:uid="{222F9DD2-C230-4DB4-AE6B-D894EBE9D66C}"/>
    <hyperlink ref="A21" r:id="rId21" display="https://dev.azure.com/SycSistemas/833274e7-44d5-4093-8f90-9bab7903e605/_workitems/edit/191" xr:uid="{482352B4-FD16-42E0-88C2-19F0DBEA0FE0}"/>
    <hyperlink ref="A22" r:id="rId22" display="https://dev.azure.com/SycSistemas/833274e7-44d5-4093-8f90-9bab7903e605/_workitems/edit/189" xr:uid="{3E2D479F-55F2-4B31-B4D7-4664DB99FCA0}"/>
    <hyperlink ref="A23" r:id="rId23" display="https://dev.azure.com/SycSistemas/833274e7-44d5-4093-8f90-9bab7903e605/_workitems/edit/185" xr:uid="{AAACE20F-C3FA-452B-B2F1-FD917D56A64A}"/>
    <hyperlink ref="A24" r:id="rId24" display="https://dev.azure.com/SycSistemas/833274e7-44d5-4093-8f90-9bab7903e605/_workitems/edit/218" xr:uid="{E29E0C27-EF10-4C90-9F2B-A4164904F949}"/>
    <hyperlink ref="A25" r:id="rId25" display="https://dev.azure.com/SycSistemas/833274e7-44d5-4093-8f90-9bab7903e605/_workitems/edit/240" xr:uid="{95932276-E912-46C2-B5C3-11333CB37002}"/>
    <hyperlink ref="A26" r:id="rId26" display="https://dev.azure.com/SycSistemas/833274e7-44d5-4093-8f90-9bab7903e605/_workitems/edit/250" xr:uid="{EE5D09CD-BDAB-44A5-B29E-8CE0831726B4}"/>
    <hyperlink ref="A27" r:id="rId27" display="https://dev.azure.com/SycSistemas/833274e7-44d5-4093-8f90-9bab7903e605/_workitems/edit/178" xr:uid="{7E802899-3703-427F-8E12-D7B197131ACA}"/>
    <hyperlink ref="A28" r:id="rId28" display="https://dev.azure.com/SycSistemas/833274e7-44d5-4093-8f90-9bab7903e605/_workitems/edit/186" xr:uid="{EB49181A-0233-4142-BF7A-45BBEBACE4DD}"/>
    <hyperlink ref="A29" r:id="rId29" display="https://dev.azure.com/SycSistemas/833274e7-44d5-4093-8f90-9bab7903e605/_workitems/edit/239" xr:uid="{AA963F83-EAF0-4995-BC6F-CC88D1264EBE}"/>
    <hyperlink ref="N29" r:id="rId30" display="https://dev.azure.com/SycSistemas/WAPSA/_boards/board/t/WAPSA Team/Stories/?workitem=235" xr:uid="{F3CA8EA8-9299-41B1-BBA9-1A632D1B2CCB}"/>
    <hyperlink ref="A30" r:id="rId31" display="https://dev.azure.com/SycSistemas/833274e7-44d5-4093-8f90-9bab7903e605/_workitems/edit/238" xr:uid="{26C1D297-B186-4258-813C-4C7110C06DA0}"/>
    <hyperlink ref="A31" r:id="rId32" display="https://dev.azure.com/SycSistemas/833274e7-44d5-4093-8f90-9bab7903e605/_workitems/edit/237" xr:uid="{F4B03F8A-FBFC-453D-ABE2-05DF1FBFA58A}"/>
    <hyperlink ref="A32" r:id="rId33" display="https://dev.azure.com/SycSistemas/833274e7-44d5-4093-8f90-9bab7903e605/_workitems/edit/236" xr:uid="{B5619F3B-97A4-4CE3-B5BF-23560CCAD0CD}"/>
    <hyperlink ref="A33" r:id="rId34" display="https://dev.azure.com/SycSistemas/833274e7-44d5-4093-8f90-9bab7903e605/_workitems/edit/187" xr:uid="{28E8D05A-C3F8-4649-9249-48A223C405FB}"/>
    <hyperlink ref="A34" r:id="rId35" display="https://dev.azure.com/SycSistemas/833274e7-44d5-4093-8f90-9bab7903e605/_workitems/edit/193" xr:uid="{FED9FFC2-D281-4466-8BE5-63378FE31A61}"/>
    <hyperlink ref="A35" r:id="rId36" display="https://dev.azure.com/SycSistemas/833274e7-44d5-4093-8f90-9bab7903e605/_workitems/edit/192" xr:uid="{55C05DD7-DAF8-4DE5-9981-31E954998196}"/>
    <hyperlink ref="A36" r:id="rId37" display="https://dev.azure.com/SycSistemas/833274e7-44d5-4093-8f90-9bab7903e605/_workitems/edit/184" xr:uid="{7BBDEB8B-057D-468E-8391-D02428CC8C02}"/>
    <hyperlink ref="A37" r:id="rId38" display="https://dev.azure.com/SycSistemas/833274e7-44d5-4093-8f90-9bab7903e605/_workitems/edit/182" xr:uid="{E8B9717B-CA46-421F-B997-91D0994F7A49}"/>
    <hyperlink ref="A38" r:id="rId39" display="https://dev.azure.com/SycSistemas/833274e7-44d5-4093-8f90-9bab7903e605/_workitems/edit/179" xr:uid="{FBD7EA17-04CD-4738-83B5-7F9D5916BB90}"/>
    <hyperlink ref="A39" r:id="rId40" display="https://dev.azure.com/SycSistemas/833274e7-44d5-4093-8f90-9bab7903e605/_workitems/edit/166" xr:uid="{0E381F2A-4748-482B-A2FC-366753299257}"/>
    <hyperlink ref="A40" r:id="rId41" display="https://dev.azure.com/SycSistemas/833274e7-44d5-4093-8f90-9bab7903e605/_workitems/edit/222" xr:uid="{4EB071A6-87DE-4FC2-837B-C74F47F36723}"/>
    <hyperlink ref="A41" r:id="rId42" display="https://dev.azure.com/SycSistemas/833274e7-44d5-4093-8f90-9bab7903e605/_workitems/edit/224" xr:uid="{E5FBEBA8-9C07-4B8B-A6A7-FB54B67F2CBB}"/>
    <hyperlink ref="A42" r:id="rId43" display="https://dev.azure.com/SycSistemas/833274e7-44d5-4093-8f90-9bab7903e605/_workitems/edit/227" xr:uid="{A97E9015-9AF9-4183-A70C-BE034A9F71A3}"/>
    <hyperlink ref="A43" r:id="rId44" display="https://dev.azure.com/SycSistemas/833274e7-44d5-4093-8f90-9bab7903e605/_workitems/edit/233" xr:uid="{CC4D08CB-6D51-4A1F-9AE3-83AAC08C7988}"/>
    <hyperlink ref="A44" r:id="rId45" display="https://dev.azure.com/SycSistemas/833274e7-44d5-4093-8f90-9bab7903e605/_workitems/edit/229" xr:uid="{75E14B20-5E00-4047-ACFE-4F1810E24780}"/>
    <hyperlink ref="A45" r:id="rId46" display="https://dev.azure.com/SycSistemas/833274e7-44d5-4093-8f90-9bab7903e605/_workitems/edit/232" xr:uid="{62A9CCAD-73FB-4955-9760-D3D909EE0900}"/>
    <hyperlink ref="A46" r:id="rId47" display="https://dev.azure.com/SycSistemas/833274e7-44d5-4093-8f90-9bab7903e605/_workitems/edit/228" xr:uid="{281A59E4-3113-49A3-BF55-817044B46CA3}"/>
    <hyperlink ref="A47" r:id="rId48" display="https://dev.azure.com/SycSistemas/833274e7-44d5-4093-8f90-9bab7903e605/_workitems/edit/219" xr:uid="{C1F8854A-7AD1-4CF6-BE41-447F66A6D686}"/>
    <hyperlink ref="N47" r:id="rId49" display="https://dev.azure.com/SycSistemas/833274e7-44d5-4093-8f90-9bab7903e605/_git/WAPSA?version=GBcambios/filtra_lista_despacho" xr:uid="{7F977FF0-0EE9-42C7-892B-3B57DC6C2CB7}"/>
    <hyperlink ref="A48" r:id="rId50" display="https://dev.azure.com/SycSistemas/833274e7-44d5-4093-8f90-9bab7903e605/_workitems/edit/230" xr:uid="{5D089CF2-AF56-4F12-A9F6-C30907A17243}"/>
    <hyperlink ref="A49" r:id="rId51" display="https://dev.azure.com/SycSistemas/833274e7-44d5-4093-8f90-9bab7903e605/_workitems/edit/243" xr:uid="{B9F290BE-2183-4D0A-B5BA-530C35240596}"/>
    <hyperlink ref="A50" r:id="rId52" display="https://dev.azure.com/SycSistemas/833274e7-44d5-4093-8f90-9bab7903e605/_workitems/edit/244" xr:uid="{C0CBA5E3-EF9A-4069-A239-D4739ADC565A}"/>
    <hyperlink ref="A51" r:id="rId53" display="https://dev.azure.com/SycSistemas/833274e7-44d5-4093-8f90-9bab7903e605/_workitems/edit/225" xr:uid="{CAFA56D2-B36A-4B30-8124-EAD35C2501FB}"/>
    <hyperlink ref="A52" r:id="rId54" display="https://dev.azure.com/SycSistemas/833274e7-44d5-4093-8f90-9bab7903e605/_workitems/edit/324" xr:uid="{193AF2C5-41A0-45C4-966A-C92797A15A7C}"/>
    <hyperlink ref="A53" r:id="rId55" display="https://dev.azure.com/SycSistemas/833274e7-44d5-4093-8f90-9bab7903e605/_workitems/edit/254" xr:uid="{B5920B6A-2811-423D-9A2B-BD522DC8B096}"/>
    <hyperlink ref="N53" r:id="rId56" display="https://dev.azure.com/SycSistemas/WAPSA/_boards/board/t/WAPSA Team/Stories/?workitem=257" xr:uid="{4BFC1CB9-561D-4A11-8A48-89E44052A126}"/>
    <hyperlink ref="A54" r:id="rId57" display="https://dev.azure.com/SycSistemas/833274e7-44d5-4093-8f90-9bab7903e605/_workitems/edit/268" xr:uid="{82018286-5584-4C0B-8926-64B837B47C84}"/>
    <hyperlink ref="A55" r:id="rId58" display="https://dev.azure.com/SycSistemas/833274e7-44d5-4093-8f90-9bab7903e605/_workitems/edit/291" xr:uid="{FDDBEDA9-4A45-4184-AF1F-BB5CC69D8708}"/>
    <hyperlink ref="A56" r:id="rId59" display="https://dev.azure.com/SycSistemas/833274e7-44d5-4093-8f90-9bab7903e605/_workitems/edit/296" xr:uid="{412A59F5-EA89-4402-B102-BDD7B149D8F5}"/>
    <hyperlink ref="A57" r:id="rId60" display="https://dev.azure.com/SycSistemas/833274e7-44d5-4093-8f90-9bab7903e605/_workitems/edit/297" xr:uid="{A7BEBAA0-B38C-45AA-AB10-2E39A7EAC403}"/>
    <hyperlink ref="A58" r:id="rId61" display="https://dev.azure.com/SycSistemas/833274e7-44d5-4093-8f90-9bab7903e605/_workitems/edit/256" xr:uid="{A142A6F5-2959-402F-BBA7-8786E3CA8ED8}"/>
    <hyperlink ref="A59" r:id="rId62" display="https://dev.azure.com/SycSistemas/833274e7-44d5-4093-8f90-9bab7903e605/_workitems/edit/257" xr:uid="{19075CDB-E2EC-4D4A-ACDB-C570E5C6AEAC}"/>
    <hyperlink ref="A60" r:id="rId63" display="https://dev.azure.com/SycSistemas/833274e7-44d5-4093-8f90-9bab7903e605/_workitems/edit/281" xr:uid="{62AE6808-E1D3-415D-BEF5-E628C036D23F}"/>
    <hyperlink ref="A61" r:id="rId64" display="https://dev.azure.com/SycSistemas/833274e7-44d5-4093-8f90-9bab7903e605/_workitems/edit/282" xr:uid="{DF7BA0F6-D04A-435B-A30B-0B6CB9BB4773}"/>
    <hyperlink ref="A62" r:id="rId65" display="https://dev.azure.com/SycSistemas/833274e7-44d5-4093-8f90-9bab7903e605/_workitems/edit/255" xr:uid="{2E248F4A-7BE9-4A3C-942E-0C6E0757E9CA}"/>
    <hyperlink ref="A63" r:id="rId66" display="https://dev.azure.com/SycSistemas/833274e7-44d5-4093-8f90-9bab7903e605/_workitems/edit/242" xr:uid="{7951A8EC-1183-4878-BA33-2EC8360A33E7}"/>
    <hyperlink ref="A64" r:id="rId67" display="https://dev.azure.com/SycSistemas/833274e7-44d5-4093-8f90-9bab7903e605/_workitems/edit/308" xr:uid="{D4EF72F5-333F-482F-8296-E590FF300F6A}"/>
    <hyperlink ref="A65" r:id="rId68" display="https://dev.azure.com/SycSistemas/833274e7-44d5-4093-8f90-9bab7903e605/_workitems/edit/311" xr:uid="{1DF5FB7A-936D-4383-8CAA-D3A48EC9843B}"/>
    <hyperlink ref="A66" r:id="rId69" display="https://dev.azure.com/SycSistemas/833274e7-44d5-4093-8f90-9bab7903e605/_workitems/edit/309" xr:uid="{97FBCF99-22AC-46B0-A380-34B3AD39E05E}"/>
    <hyperlink ref="A67" r:id="rId70" display="https://dev.azure.com/SycSistemas/833274e7-44d5-4093-8f90-9bab7903e605/_workitems/edit/312" xr:uid="{C888E61B-F268-43E2-95F4-453EB0907632}"/>
    <hyperlink ref="A68" r:id="rId71" display="https://dev.azure.com/SycSistemas/833274e7-44d5-4093-8f90-9bab7903e605/_workitems/edit/315" xr:uid="{CE026FED-C1A0-4B0D-A72E-84404D9C3A14}"/>
    <hyperlink ref="A69" r:id="rId72" display="https://dev.azure.com/SycSistemas/833274e7-44d5-4093-8f90-9bab7903e605/_workitems/edit/246" xr:uid="{176CC233-1722-4420-AF6B-F82E67C48C54}"/>
    <hyperlink ref="A70" r:id="rId73" display="https://dev.azure.com/SycSistemas/833274e7-44d5-4093-8f90-9bab7903e605/_workitems/edit/310" xr:uid="{1D4D7533-6D63-4A30-89BD-049D0F680DCE}"/>
    <hyperlink ref="A71" r:id="rId74" display="https://dev.azure.com/SycSistemas/833274e7-44d5-4093-8f90-9bab7903e605/_workitems/edit/234" xr:uid="{AA656B9F-D233-40C4-BA3B-8A5F7F34D4A6}"/>
    <hyperlink ref="A72" r:id="rId75" display="https://dev.azure.com/SycSistemas/833274e7-44d5-4093-8f90-9bab7903e605/_workitems/edit/247" xr:uid="{0E9F1495-2D09-49DB-B951-ECE85B6E41F5}"/>
    <hyperlink ref="A73" r:id="rId76" display="https://dev.azure.com/SycSistemas/833274e7-44d5-4093-8f90-9bab7903e605/_workitems/edit/300" xr:uid="{66CD8CB4-1559-4CF0-A4CC-D04D406E45BC}"/>
    <hyperlink ref="A74" r:id="rId77" display="https://dev.azure.com/SycSistemas/833274e7-44d5-4093-8f90-9bab7903e605/_workitems/edit/292" xr:uid="{3FC57052-66E3-4BCA-98A7-9024583176BF}"/>
    <hyperlink ref="A75" r:id="rId78" display="https://dev.azure.com/SycSistemas/833274e7-44d5-4093-8f90-9bab7903e605/_workitems/edit/276" xr:uid="{3278CB5D-DFA9-4D67-A030-C800735F9B70}"/>
    <hyperlink ref="A76" r:id="rId79" display="https://dev.azure.com/SycSistemas/833274e7-44d5-4093-8f90-9bab7903e605/_workitems/edit/284" xr:uid="{A0C793C9-B972-4886-91C8-A40CFE84D450}"/>
    <hyperlink ref="A77" r:id="rId80" display="https://dev.azure.com/SycSistemas/833274e7-44d5-4093-8f90-9bab7903e605/_workitems/edit/305" xr:uid="{4C79F0C7-C6BB-4837-965F-5BC8472D78F9}"/>
    <hyperlink ref="A78" r:id="rId81" display="https://dev.azure.com/SycSistemas/833274e7-44d5-4093-8f90-9bab7903e605/_workitems/edit/325" xr:uid="{9A896BAD-9410-40D1-B4A1-BD80C36EE8CD}"/>
    <hyperlink ref="A79" r:id="rId82" display="https://dev.azure.com/SycSistemas/833274e7-44d5-4093-8f90-9bab7903e605/_workitems/edit/214" xr:uid="{D471601F-4204-4A2C-BA2E-8576E7EB921B}"/>
    <hyperlink ref="A80" r:id="rId83" display="https://dev.azure.com/SycSistemas/833274e7-44d5-4093-8f90-9bab7903e605/_workitems/edit/199" xr:uid="{8D373905-661F-44B5-A6A9-65DE45FA1F21}"/>
    <hyperlink ref="A81" r:id="rId84" display="https://dev.azure.com/SycSistemas/833274e7-44d5-4093-8f90-9bab7903e605/_workitems/edit/204" xr:uid="{592A0296-6CAA-466E-A43D-2FCD0A2FDCE2}"/>
    <hyperlink ref="A82" r:id="rId85" display="https://dev.azure.com/SycSistemas/833274e7-44d5-4093-8f90-9bab7903e605/_workitems/edit/205" xr:uid="{ECD658F1-A827-48DF-B12E-4DBB1D9B64E8}"/>
    <hyperlink ref="A83" r:id="rId86" display="https://dev.azure.com/SycSistemas/833274e7-44d5-4093-8f90-9bab7903e605/_workitems/edit/208" xr:uid="{E00DC0BF-96D2-422F-BB3E-986E1933A3B3}"/>
    <hyperlink ref="A84" r:id="rId87" display="https://dev.azure.com/SycSistemas/833274e7-44d5-4093-8f90-9bab7903e605/_workitems/edit/215" xr:uid="{0BDA525E-1FBB-4A0D-AEF3-4F31E0BD05C1}"/>
    <hyperlink ref="A85" r:id="rId88" display="https://dev.azure.com/SycSistemas/833274e7-44d5-4093-8f90-9bab7903e605/_workitems/edit/206" xr:uid="{98DFD90F-DB89-4997-862A-A0C0D148DD23}"/>
    <hyperlink ref="A86" r:id="rId89" display="https://dev.azure.com/SycSistemas/833274e7-44d5-4093-8f90-9bab7903e605/_workitems/edit/168" xr:uid="{B801EE1D-38CB-4240-AA32-6BFCCA9DBB5E}"/>
    <hyperlink ref="A87" r:id="rId90" display="https://dev.azure.com/SycSistemas/833274e7-44d5-4093-8f90-9bab7903e605/_workitems/edit/172" xr:uid="{B246356B-4CBD-4EF6-A3AB-11F56CA60448}"/>
    <hyperlink ref="A88" r:id="rId91" display="https://dev.azure.com/SycSistemas/833274e7-44d5-4093-8f90-9bab7903e605/_workitems/edit/170" xr:uid="{17645A26-C835-4327-83B8-FE18EA259D1F}"/>
    <hyperlink ref="A89" r:id="rId92" display="https://dev.azure.com/SycSistemas/833274e7-44d5-4093-8f90-9bab7903e605/_workitems/edit/209" xr:uid="{F7E4E2AF-45C4-4E25-B7EE-5EEDCB9453E3}"/>
    <hyperlink ref="A90" r:id="rId93" display="https://dev.azure.com/SycSistemas/833274e7-44d5-4093-8f90-9bab7903e605/_workitems/edit/202" xr:uid="{44A400A4-9CBB-4F99-9C98-F6FDC4F4D7EE}"/>
    <hyperlink ref="A91" r:id="rId94" display="https://dev.azure.com/SycSistemas/833274e7-44d5-4093-8f90-9bab7903e605/_workitems/edit/201" xr:uid="{58CC57DE-AF40-48C5-B13D-2AAA2F2DA360}"/>
    <hyperlink ref="A92" r:id="rId95" display="https://dev.azure.com/SycSistemas/833274e7-44d5-4093-8f90-9bab7903e605/_workitems/edit/198" xr:uid="{0A86FB74-47C2-4CD2-9B33-A34649D58655}"/>
    <hyperlink ref="A93" r:id="rId96" display="https://dev.azure.com/SycSistemas/833274e7-44d5-4093-8f90-9bab7903e605/_workitems/edit/164" xr:uid="{6A58757B-54FA-4ADF-A589-07544833F196}"/>
    <hyperlink ref="A94" r:id="rId97" display="https://dev.azure.com/SycSistemas/833274e7-44d5-4093-8f90-9bab7903e605/_workitems/edit/165" xr:uid="{7E051012-1571-484E-9557-BC830A27BB48}"/>
    <hyperlink ref="A95" r:id="rId98" display="https://dev.azure.com/SycSistemas/833274e7-44d5-4093-8f90-9bab7903e605/_workitems/edit/195" xr:uid="{6D558FB4-BD40-4EB2-A23E-7B203096F1CF}"/>
    <hyperlink ref="A96" r:id="rId99" display="https://dev.azure.com/SycSistemas/833274e7-44d5-4093-8f90-9bab7903e605/_workitems/edit/174" xr:uid="{3EA98F73-040E-466C-A362-34B467E742D6}"/>
    <hyperlink ref="A97" r:id="rId100" display="https://dev.azure.com/SycSistemas/833274e7-44d5-4093-8f90-9bab7903e605/_workitems/edit/162" xr:uid="{50D31E19-AC26-48B9-8B9A-D7EC11714B69}"/>
    <hyperlink ref="A98" r:id="rId101" display="https://dev.azure.com/SycSistemas/833274e7-44d5-4093-8f90-9bab7903e605/_workitems/edit/231" xr:uid="{22ADA8DA-1F80-479D-B2FA-439AF81AC5AC}"/>
    <hyperlink ref="A99" r:id="rId102" display="https://dev.azure.com/SycSistemas/833274e7-44d5-4093-8f90-9bab7903e605/_workitems/edit/212" xr:uid="{61657DC3-B592-4762-A863-D90F99C82CED}"/>
    <hyperlink ref="A100" r:id="rId103" display="https://dev.azure.com/SycSistemas/833274e7-44d5-4093-8f90-9bab7903e605/_workitems/edit/211" xr:uid="{E8C15FCB-F254-4F81-9BC0-A0F3F1B4C456}"/>
    <hyperlink ref="A101" r:id="rId104" display="https://dev.azure.com/SycSistemas/833274e7-44d5-4093-8f90-9bab7903e605/_workitems/edit/196" xr:uid="{0FA5B226-F0AF-43CF-9DB5-7236180F0DC8}"/>
    <hyperlink ref="A102" r:id="rId105" display="https://dev.azure.com/SycSistemas/833274e7-44d5-4093-8f90-9bab7903e605/_workitems/edit/171" xr:uid="{C9E07D10-FBAC-4C8F-B0F3-537A77FD17CD}"/>
    <hyperlink ref="A103" r:id="rId106" display="https://dev.azure.com/SycSistemas/833274e7-44d5-4093-8f90-9bab7903e605/_workitems/edit/167" xr:uid="{20CFABD2-51C0-46BA-B8CB-DE1A74BC29E2}"/>
    <hyperlink ref="A104" r:id="rId107" display="https://dev.azure.com/SycSistemas/833274e7-44d5-4093-8f90-9bab7903e605/_workitems/edit/173" xr:uid="{FCCB59F1-9054-4A39-9157-5BCF4EADC27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C0574-E151-40A5-B488-19B2EAEA2F16}">
  <dimension ref="A1:S208"/>
  <sheetViews>
    <sheetView tabSelected="1" workbookViewId="0">
      <selection activeCell="C17" sqref="C17"/>
    </sheetView>
  </sheetViews>
  <sheetFormatPr baseColWidth="10" defaultColWidth="21.140625" defaultRowHeight="15" x14ac:dyDescent="0.25"/>
  <cols>
    <col min="1" max="1" width="4.140625" customWidth="1"/>
    <col min="2" max="2" width="14" bestFit="1" customWidth="1"/>
    <col min="3" max="3" width="77" customWidth="1"/>
    <col min="4" max="4" width="40.5703125" customWidth="1"/>
    <col min="5" max="5" width="19.5703125" customWidth="1"/>
    <col min="6" max="6" width="15.42578125" customWidth="1"/>
    <col min="7" max="8" width="17.7109375" bestFit="1" customWidth="1"/>
    <col min="9" max="9" width="15.7109375" bestFit="1" customWidth="1"/>
    <col min="10" max="10" width="13" bestFit="1" customWidth="1"/>
    <col min="11" max="11" width="9.28515625" bestFit="1" customWidth="1"/>
    <col min="12" max="12" width="17.7109375" bestFit="1" customWidth="1"/>
    <col min="13" max="13" width="47.7109375" bestFit="1" customWidth="1"/>
    <col min="14" max="14" width="255.7109375" bestFit="1" customWidth="1"/>
    <col min="16" max="16" width="35.42578125" bestFit="1" customWidth="1"/>
    <col min="17" max="17" width="25" customWidth="1"/>
    <col min="19" max="19" width="24.7109375" customWidth="1"/>
  </cols>
  <sheetData>
    <row r="1" spans="1:19" ht="24" x14ac:dyDescent="0.25">
      <c r="A1" s="1" t="s">
        <v>0</v>
      </c>
      <c r="B1" s="1" t="s">
        <v>2</v>
      </c>
      <c r="C1" s="1" t="s">
        <v>1</v>
      </c>
      <c r="D1" s="1" t="s">
        <v>3</v>
      </c>
      <c r="E1" s="1" t="s">
        <v>5</v>
      </c>
      <c r="F1" s="1" t="s">
        <v>6</v>
      </c>
      <c r="G1" s="1" t="s">
        <v>7</v>
      </c>
      <c r="H1" s="1" t="s">
        <v>8</v>
      </c>
      <c r="I1" s="1" t="s">
        <v>441</v>
      </c>
      <c r="J1" s="1" t="s">
        <v>9</v>
      </c>
      <c r="K1" s="1" t="s">
        <v>10</v>
      </c>
      <c r="L1" s="1" t="s">
        <v>11</v>
      </c>
      <c r="M1" s="1" t="s">
        <v>12</v>
      </c>
      <c r="N1" s="1" t="s">
        <v>13</v>
      </c>
      <c r="O1" s="1" t="s">
        <v>4</v>
      </c>
      <c r="P1" s="1" t="s">
        <v>442</v>
      </c>
      <c r="Q1" s="1" t="s">
        <v>443</v>
      </c>
      <c r="R1" s="1" t="s">
        <v>14</v>
      </c>
      <c r="S1" s="1" t="s">
        <v>16</v>
      </c>
    </row>
    <row r="2" spans="1:19" x14ac:dyDescent="0.25">
      <c r="A2">
        <v>191</v>
      </c>
      <c r="B2" t="s">
        <v>19</v>
      </c>
      <c r="C2" t="s">
        <v>88</v>
      </c>
      <c r="D2" t="s">
        <v>478</v>
      </c>
      <c r="E2" t="s">
        <v>27</v>
      </c>
      <c r="G2" t="s">
        <v>524</v>
      </c>
      <c r="H2" t="s">
        <v>525</v>
      </c>
      <c r="I2" t="s">
        <v>526</v>
      </c>
      <c r="J2" t="s">
        <v>79</v>
      </c>
      <c r="L2">
        <v>312</v>
      </c>
      <c r="N2" t="s">
        <v>527</v>
      </c>
      <c r="O2" t="s">
        <v>27</v>
      </c>
      <c r="P2" t="s">
        <v>294</v>
      </c>
      <c r="Q2" t="s">
        <v>295</v>
      </c>
      <c r="R2">
        <v>251</v>
      </c>
      <c r="S2" t="str">
        <f>VLOOKUP(R2,Epics!A:B,2,FALSE)</f>
        <v>Proyecto WAPSA 2024 - 3</v>
      </c>
    </row>
    <row r="3" spans="1:19" x14ac:dyDescent="0.25">
      <c r="A3">
        <v>194</v>
      </c>
      <c r="B3" t="s">
        <v>19</v>
      </c>
      <c r="C3" t="s">
        <v>501</v>
      </c>
      <c r="D3" t="s">
        <v>488</v>
      </c>
      <c r="E3" t="s">
        <v>22</v>
      </c>
      <c r="F3" t="s">
        <v>479</v>
      </c>
      <c r="G3" t="s">
        <v>528</v>
      </c>
      <c r="H3" t="s">
        <v>529</v>
      </c>
      <c r="I3" t="s">
        <v>529</v>
      </c>
      <c r="J3" t="s">
        <v>79</v>
      </c>
      <c r="L3">
        <v>315</v>
      </c>
      <c r="M3" t="s">
        <v>327</v>
      </c>
      <c r="N3" t="s">
        <v>530</v>
      </c>
      <c r="O3" t="s">
        <v>27</v>
      </c>
      <c r="P3" t="s">
        <v>294</v>
      </c>
      <c r="Q3" t="s">
        <v>295</v>
      </c>
      <c r="R3">
        <v>251</v>
      </c>
      <c r="S3" t="str">
        <f>VLOOKUP(R3,Epics!A:B,2,FALSE)</f>
        <v>Proyecto WAPSA 2024 - 3</v>
      </c>
    </row>
    <row r="4" spans="1:19" x14ac:dyDescent="0.25">
      <c r="A4">
        <v>183</v>
      </c>
      <c r="B4" t="s">
        <v>19</v>
      </c>
      <c r="C4" t="s">
        <v>86</v>
      </c>
      <c r="D4" t="s">
        <v>531</v>
      </c>
      <c r="E4" t="s">
        <v>27</v>
      </c>
      <c r="J4" t="s">
        <v>79</v>
      </c>
      <c r="L4">
        <v>304</v>
      </c>
      <c r="N4" t="s">
        <v>532</v>
      </c>
      <c r="O4" t="s">
        <v>27</v>
      </c>
      <c r="P4" t="s">
        <v>294</v>
      </c>
      <c r="Q4" t="s">
        <v>295</v>
      </c>
      <c r="R4">
        <v>251</v>
      </c>
      <c r="S4" t="str">
        <f>VLOOKUP(R4,Epics!A:B,2,FALSE)</f>
        <v>Proyecto WAPSA 2024 - 3</v>
      </c>
    </row>
    <row r="5" spans="1:19" x14ac:dyDescent="0.25">
      <c r="A5">
        <v>185</v>
      </c>
      <c r="B5" t="s">
        <v>19</v>
      </c>
      <c r="C5" t="s">
        <v>92</v>
      </c>
      <c r="D5" t="s">
        <v>531</v>
      </c>
      <c r="E5" t="s">
        <v>27</v>
      </c>
      <c r="J5" t="s">
        <v>79</v>
      </c>
      <c r="L5">
        <v>306</v>
      </c>
      <c r="N5" t="s">
        <v>533</v>
      </c>
      <c r="O5" t="s">
        <v>27</v>
      </c>
      <c r="P5" t="s">
        <v>294</v>
      </c>
      <c r="Q5" t="s">
        <v>295</v>
      </c>
      <c r="R5">
        <v>251</v>
      </c>
      <c r="S5" t="str">
        <f>VLOOKUP(R5,Epics!A:B,2,FALSE)</f>
        <v>Proyecto WAPSA 2024 - 3</v>
      </c>
    </row>
    <row r="6" spans="1:19" x14ac:dyDescent="0.25">
      <c r="A6">
        <v>189</v>
      </c>
      <c r="B6" t="s">
        <v>19</v>
      </c>
      <c r="C6" t="s">
        <v>298</v>
      </c>
      <c r="D6" t="s">
        <v>531</v>
      </c>
      <c r="E6" t="s">
        <v>27</v>
      </c>
      <c r="J6" t="s">
        <v>79</v>
      </c>
      <c r="L6">
        <v>310</v>
      </c>
      <c r="N6" t="s">
        <v>534</v>
      </c>
      <c r="O6" t="s">
        <v>27</v>
      </c>
      <c r="P6" t="s">
        <v>294</v>
      </c>
      <c r="Q6" t="s">
        <v>295</v>
      </c>
      <c r="R6">
        <v>251</v>
      </c>
      <c r="S6" t="str">
        <f>VLOOKUP(R6,Epics!A:B,2,FALSE)</f>
        <v>Proyecto WAPSA 2024 - 3</v>
      </c>
    </row>
    <row r="7" spans="1:19" x14ac:dyDescent="0.25">
      <c r="A7">
        <v>223</v>
      </c>
      <c r="B7" t="s">
        <v>19</v>
      </c>
      <c r="C7" t="s">
        <v>292</v>
      </c>
      <c r="D7" t="s">
        <v>531</v>
      </c>
      <c r="E7" t="s">
        <v>27</v>
      </c>
      <c r="G7" t="s">
        <v>535</v>
      </c>
      <c r="J7" t="s">
        <v>32</v>
      </c>
      <c r="K7">
        <v>333</v>
      </c>
      <c r="N7" t="s">
        <v>536</v>
      </c>
      <c r="O7" t="s">
        <v>27</v>
      </c>
      <c r="P7" t="s">
        <v>294</v>
      </c>
      <c r="Q7" t="s">
        <v>295</v>
      </c>
      <c r="R7">
        <v>251</v>
      </c>
      <c r="S7" t="str">
        <f>VLOOKUP(R7,Epics!A:B,2,FALSE)</f>
        <v>Proyecto WAPSA 2024 - 3</v>
      </c>
    </row>
    <row r="8" spans="1:19" x14ac:dyDescent="0.25">
      <c r="A8">
        <v>248</v>
      </c>
      <c r="B8" t="s">
        <v>19</v>
      </c>
      <c r="C8" t="s">
        <v>296</v>
      </c>
      <c r="D8" t="s">
        <v>476</v>
      </c>
      <c r="E8" t="s">
        <v>22</v>
      </c>
      <c r="F8" t="s">
        <v>479</v>
      </c>
      <c r="G8" t="s">
        <v>537</v>
      </c>
      <c r="H8" t="s">
        <v>538</v>
      </c>
      <c r="I8" t="s">
        <v>539</v>
      </c>
      <c r="J8" t="s">
        <v>32</v>
      </c>
      <c r="L8">
        <v>355</v>
      </c>
      <c r="M8" t="s">
        <v>297</v>
      </c>
      <c r="N8" t="s">
        <v>540</v>
      </c>
      <c r="O8" t="s">
        <v>27</v>
      </c>
      <c r="P8" t="s">
        <v>294</v>
      </c>
      <c r="Q8" t="s">
        <v>295</v>
      </c>
      <c r="R8">
        <v>251</v>
      </c>
      <c r="S8" t="str">
        <f>VLOOKUP(R8,Epics!A:B,2,FALSE)</f>
        <v>Proyecto WAPSA 2024 - 3</v>
      </c>
    </row>
    <row r="9" spans="1:19" x14ac:dyDescent="0.25">
      <c r="A9">
        <v>458</v>
      </c>
      <c r="B9" t="s">
        <v>19</v>
      </c>
      <c r="C9" t="s">
        <v>472</v>
      </c>
      <c r="D9" t="s">
        <v>478</v>
      </c>
      <c r="E9" t="s">
        <v>22</v>
      </c>
      <c r="F9" t="s">
        <v>473</v>
      </c>
      <c r="G9" t="s">
        <v>541</v>
      </c>
      <c r="H9" t="s">
        <v>541</v>
      </c>
      <c r="I9" t="s">
        <v>542</v>
      </c>
      <c r="J9" t="s">
        <v>32</v>
      </c>
      <c r="L9">
        <v>445</v>
      </c>
      <c r="M9" t="s">
        <v>297</v>
      </c>
      <c r="N9" t="s">
        <v>543</v>
      </c>
      <c r="O9" t="s">
        <v>21</v>
      </c>
      <c r="P9" t="s">
        <v>294</v>
      </c>
      <c r="Q9" t="s">
        <v>295</v>
      </c>
      <c r="R9">
        <v>252</v>
      </c>
      <c r="S9" t="str">
        <f>VLOOKUP(R9,Epics!A:B,2,FALSE)</f>
        <v>Pases a Producción</v>
      </c>
    </row>
    <row r="10" spans="1:19" x14ac:dyDescent="0.25">
      <c r="A10">
        <v>285</v>
      </c>
      <c r="B10" t="s">
        <v>19</v>
      </c>
      <c r="C10" t="s">
        <v>299</v>
      </c>
      <c r="D10" t="s">
        <v>49</v>
      </c>
      <c r="E10" t="s">
        <v>22</v>
      </c>
      <c r="F10" t="s">
        <v>50</v>
      </c>
      <c r="G10" t="s">
        <v>544</v>
      </c>
      <c r="H10" t="s">
        <v>544</v>
      </c>
      <c r="I10" t="s">
        <v>545</v>
      </c>
      <c r="J10" t="s">
        <v>32</v>
      </c>
      <c r="K10">
        <v>102342</v>
      </c>
      <c r="L10">
        <v>366</v>
      </c>
      <c r="M10" t="s">
        <v>297</v>
      </c>
      <c r="N10" t="s">
        <v>546</v>
      </c>
      <c r="O10" t="s">
        <v>27</v>
      </c>
      <c r="P10" t="s">
        <v>294</v>
      </c>
      <c r="Q10" t="s">
        <v>295</v>
      </c>
      <c r="R10">
        <v>252</v>
      </c>
      <c r="S10" t="str">
        <f>VLOOKUP(R10,Epics!A:B,2,FALSE)</f>
        <v>Pases a Producción</v>
      </c>
    </row>
    <row r="11" spans="1:19" x14ac:dyDescent="0.25">
      <c r="A11">
        <v>316</v>
      </c>
      <c r="B11" t="s">
        <v>19</v>
      </c>
      <c r="C11" t="s">
        <v>300</v>
      </c>
      <c r="D11" t="s">
        <v>31</v>
      </c>
      <c r="E11" t="s">
        <v>22</v>
      </c>
      <c r="F11" t="s">
        <v>53</v>
      </c>
      <c r="G11" t="s">
        <v>547</v>
      </c>
      <c r="H11" t="s">
        <v>547</v>
      </c>
      <c r="I11" t="s">
        <v>548</v>
      </c>
      <c r="J11" t="s">
        <v>32</v>
      </c>
      <c r="K11">
        <v>120145</v>
      </c>
      <c r="L11">
        <v>379</v>
      </c>
      <c r="M11" t="s">
        <v>297</v>
      </c>
      <c r="N11" t="s">
        <v>549</v>
      </c>
      <c r="O11" t="s">
        <v>27</v>
      </c>
      <c r="P11" t="s">
        <v>294</v>
      </c>
      <c r="Q11" t="s">
        <v>295</v>
      </c>
      <c r="R11">
        <v>252</v>
      </c>
      <c r="S11" t="str">
        <f>VLOOKUP(R11,Epics!A:B,2,FALSE)</f>
        <v>Pases a Producción</v>
      </c>
    </row>
    <row r="12" spans="1:19" x14ac:dyDescent="0.25">
      <c r="A12">
        <v>490</v>
      </c>
      <c r="B12" t="s">
        <v>19</v>
      </c>
      <c r="C12" t="s">
        <v>495</v>
      </c>
      <c r="D12" t="s">
        <v>502</v>
      </c>
      <c r="E12" t="s">
        <v>22</v>
      </c>
      <c r="F12" t="s">
        <v>479</v>
      </c>
      <c r="G12" t="s">
        <v>550</v>
      </c>
      <c r="H12" t="s">
        <v>551</v>
      </c>
      <c r="I12" t="s">
        <v>552</v>
      </c>
      <c r="J12" t="s">
        <v>32</v>
      </c>
      <c r="L12">
        <v>458</v>
      </c>
      <c r="M12" t="s">
        <v>297</v>
      </c>
      <c r="N12" t="s">
        <v>553</v>
      </c>
      <c r="O12" t="s">
        <v>27</v>
      </c>
      <c r="P12" t="s">
        <v>294</v>
      </c>
      <c r="Q12" t="s">
        <v>304</v>
      </c>
      <c r="R12">
        <v>252</v>
      </c>
      <c r="S12" t="str">
        <f>VLOOKUP(R12,Epics!A:B,2,FALSE)</f>
        <v>Pases a Producción</v>
      </c>
    </row>
    <row r="13" spans="1:19" x14ac:dyDescent="0.25">
      <c r="A13">
        <v>491</v>
      </c>
      <c r="B13" t="s">
        <v>19</v>
      </c>
      <c r="C13" t="s">
        <v>494</v>
      </c>
      <c r="D13" t="s">
        <v>502</v>
      </c>
      <c r="E13" t="s">
        <v>22</v>
      </c>
      <c r="F13" t="s">
        <v>487</v>
      </c>
      <c r="G13" t="s">
        <v>554</v>
      </c>
      <c r="H13" t="s">
        <v>554</v>
      </c>
      <c r="I13" t="s">
        <v>552</v>
      </c>
      <c r="J13" t="s">
        <v>284</v>
      </c>
      <c r="L13">
        <v>459</v>
      </c>
      <c r="M13" t="s">
        <v>297</v>
      </c>
      <c r="N13" t="s">
        <v>555</v>
      </c>
      <c r="O13" t="s">
        <v>27</v>
      </c>
      <c r="P13" t="s">
        <v>294</v>
      </c>
      <c r="Q13" t="s">
        <v>331</v>
      </c>
      <c r="R13">
        <v>252</v>
      </c>
      <c r="S13" t="str">
        <f>VLOOKUP(R13,Epics!A:B,2,FALSE)</f>
        <v>Pases a Producción</v>
      </c>
    </row>
    <row r="14" spans="1:19" x14ac:dyDescent="0.25">
      <c r="A14">
        <v>235</v>
      </c>
      <c r="B14" t="s">
        <v>19</v>
      </c>
      <c r="C14" t="s">
        <v>301</v>
      </c>
      <c r="D14" t="s">
        <v>26</v>
      </c>
      <c r="E14" t="s">
        <v>22</v>
      </c>
      <c r="F14" t="s">
        <v>43</v>
      </c>
      <c r="G14" t="s">
        <v>556</v>
      </c>
      <c r="H14" t="s">
        <v>557</v>
      </c>
      <c r="I14" t="s">
        <v>558</v>
      </c>
      <c r="J14" t="s">
        <v>32</v>
      </c>
      <c r="L14">
        <v>345</v>
      </c>
      <c r="M14" t="s">
        <v>297</v>
      </c>
      <c r="N14" t="s">
        <v>559</v>
      </c>
      <c r="O14" t="s">
        <v>27</v>
      </c>
      <c r="P14" t="s">
        <v>294</v>
      </c>
      <c r="Q14" t="s">
        <v>295</v>
      </c>
      <c r="R14">
        <v>252</v>
      </c>
      <c r="S14" t="str">
        <f>VLOOKUP(R14,Epics!A:B,2,FALSE)</f>
        <v>Pases a Producción</v>
      </c>
    </row>
    <row r="15" spans="1:19" x14ac:dyDescent="0.25">
      <c r="A15">
        <v>245</v>
      </c>
      <c r="B15" t="s">
        <v>19</v>
      </c>
      <c r="C15" t="s">
        <v>302</v>
      </c>
      <c r="D15" t="s">
        <v>26</v>
      </c>
      <c r="E15" t="s">
        <v>22</v>
      </c>
      <c r="F15" t="s">
        <v>46</v>
      </c>
      <c r="G15" t="s">
        <v>556</v>
      </c>
      <c r="H15" t="s">
        <v>560</v>
      </c>
      <c r="I15" t="s">
        <v>561</v>
      </c>
      <c r="J15" t="s">
        <v>32</v>
      </c>
      <c r="L15">
        <v>351</v>
      </c>
      <c r="M15" t="s">
        <v>297</v>
      </c>
      <c r="N15" t="s">
        <v>562</v>
      </c>
      <c r="O15" t="s">
        <v>27</v>
      </c>
      <c r="P15" t="s">
        <v>303</v>
      </c>
      <c r="Q15" t="s">
        <v>304</v>
      </c>
      <c r="R15">
        <v>252</v>
      </c>
      <c r="S15" t="str">
        <f>VLOOKUP(R15,Epics!A:B,2,FALSE)</f>
        <v>Pases a Producción</v>
      </c>
    </row>
    <row r="16" spans="1:19" x14ac:dyDescent="0.25">
      <c r="A16">
        <v>213</v>
      </c>
      <c r="B16" t="s">
        <v>19</v>
      </c>
      <c r="C16" t="s">
        <v>305</v>
      </c>
      <c r="D16" t="s">
        <v>35</v>
      </c>
      <c r="E16" t="s">
        <v>22</v>
      </c>
      <c r="F16" t="s">
        <v>61</v>
      </c>
      <c r="G16" t="s">
        <v>563</v>
      </c>
      <c r="H16" t="s">
        <v>563</v>
      </c>
      <c r="I16" t="s">
        <v>564</v>
      </c>
      <c r="J16" t="s">
        <v>62</v>
      </c>
      <c r="K16">
        <v>102342</v>
      </c>
      <c r="L16">
        <v>326</v>
      </c>
      <c r="M16" t="s">
        <v>297</v>
      </c>
      <c r="N16" t="s">
        <v>565</v>
      </c>
      <c r="O16" t="s">
        <v>27</v>
      </c>
      <c r="P16" t="s">
        <v>294</v>
      </c>
      <c r="Q16" t="s">
        <v>295</v>
      </c>
      <c r="R16">
        <v>252</v>
      </c>
      <c r="S16" t="str">
        <f>VLOOKUP(R16,Epics!A:B,2,FALSE)</f>
        <v>Pases a Producción</v>
      </c>
    </row>
    <row r="17" spans="1:19" x14ac:dyDescent="0.25">
      <c r="A17">
        <v>523</v>
      </c>
      <c r="B17" t="s">
        <v>19</v>
      </c>
      <c r="C17" t="s">
        <v>566</v>
      </c>
      <c r="D17" t="s">
        <v>531</v>
      </c>
      <c r="E17" t="s">
        <v>517</v>
      </c>
      <c r="G17" t="s">
        <v>567</v>
      </c>
      <c r="L17">
        <v>481</v>
      </c>
      <c r="M17" t="s">
        <v>297</v>
      </c>
      <c r="N17" t="s">
        <v>568</v>
      </c>
      <c r="O17" t="s">
        <v>27</v>
      </c>
      <c r="P17" t="s">
        <v>303</v>
      </c>
      <c r="Q17" t="s">
        <v>295</v>
      </c>
      <c r="R17">
        <v>252</v>
      </c>
      <c r="S17" t="str">
        <f>VLOOKUP(R17,Epics!A:B,2,FALSE)</f>
        <v>Pases a Producción</v>
      </c>
    </row>
    <row r="18" spans="1:19" x14ac:dyDescent="0.25">
      <c r="A18">
        <v>410</v>
      </c>
      <c r="B18" t="s">
        <v>19</v>
      </c>
      <c r="C18" t="s">
        <v>306</v>
      </c>
      <c r="D18" t="s">
        <v>293</v>
      </c>
      <c r="E18" t="s">
        <v>22</v>
      </c>
      <c r="F18" t="s">
        <v>280</v>
      </c>
      <c r="G18" t="s">
        <v>569</v>
      </c>
      <c r="H18" t="s">
        <v>570</v>
      </c>
      <c r="I18" t="s">
        <v>571</v>
      </c>
      <c r="J18" t="s">
        <v>32</v>
      </c>
      <c r="L18">
        <v>420</v>
      </c>
      <c r="M18" t="s">
        <v>297</v>
      </c>
      <c r="N18" t="s">
        <v>572</v>
      </c>
      <c r="O18" t="s">
        <v>27</v>
      </c>
      <c r="P18" t="s">
        <v>294</v>
      </c>
      <c r="Q18" t="s">
        <v>295</v>
      </c>
      <c r="R18">
        <v>252</v>
      </c>
      <c r="S18" t="str">
        <f>VLOOKUP(R18,Epics!A:B,2,FALSE)</f>
        <v>Pases a Producción</v>
      </c>
    </row>
    <row r="19" spans="1:19" x14ac:dyDescent="0.25">
      <c r="A19">
        <v>434</v>
      </c>
      <c r="B19" t="s">
        <v>19</v>
      </c>
      <c r="C19" t="s">
        <v>451</v>
      </c>
      <c r="D19" t="s">
        <v>454</v>
      </c>
      <c r="E19" t="s">
        <v>22</v>
      </c>
      <c r="F19" t="s">
        <v>329</v>
      </c>
      <c r="G19" t="s">
        <v>573</v>
      </c>
      <c r="H19" t="s">
        <v>574</v>
      </c>
      <c r="I19" t="s">
        <v>537</v>
      </c>
      <c r="J19" t="s">
        <v>32</v>
      </c>
      <c r="L19">
        <v>434</v>
      </c>
      <c r="M19" t="s">
        <v>297</v>
      </c>
      <c r="N19" t="s">
        <v>575</v>
      </c>
      <c r="O19" t="s">
        <v>27</v>
      </c>
      <c r="P19" t="s">
        <v>294</v>
      </c>
      <c r="Q19" t="s">
        <v>295</v>
      </c>
      <c r="R19">
        <v>252</v>
      </c>
      <c r="S19" t="str">
        <f>VLOOKUP(R19,Epics!A:B,2,FALSE)</f>
        <v>Pases a Producción</v>
      </c>
    </row>
    <row r="20" spans="1:19" x14ac:dyDescent="0.25">
      <c r="A20">
        <v>441</v>
      </c>
      <c r="B20" t="s">
        <v>19</v>
      </c>
      <c r="C20" t="s">
        <v>455</v>
      </c>
      <c r="D20" t="s">
        <v>454</v>
      </c>
      <c r="E20" t="s">
        <v>22</v>
      </c>
      <c r="F20" t="s">
        <v>456</v>
      </c>
      <c r="G20" t="s">
        <v>576</v>
      </c>
      <c r="H20" t="s">
        <v>576</v>
      </c>
      <c r="I20" t="s">
        <v>577</v>
      </c>
      <c r="J20" t="s">
        <v>32</v>
      </c>
      <c r="L20">
        <v>437</v>
      </c>
      <c r="M20" t="s">
        <v>297</v>
      </c>
      <c r="N20" t="s">
        <v>578</v>
      </c>
      <c r="O20" t="s">
        <v>27</v>
      </c>
      <c r="P20" t="s">
        <v>294</v>
      </c>
      <c r="Q20" t="s">
        <v>295</v>
      </c>
      <c r="R20">
        <v>252</v>
      </c>
      <c r="S20" t="str">
        <f>VLOOKUP(R20,Epics!A:B,2,FALSE)</f>
        <v>Pases a Producción</v>
      </c>
    </row>
    <row r="21" spans="1:19" x14ac:dyDescent="0.25">
      <c r="A21">
        <v>442</v>
      </c>
      <c r="B21" t="s">
        <v>19</v>
      </c>
      <c r="C21" t="s">
        <v>457</v>
      </c>
      <c r="D21" t="s">
        <v>454</v>
      </c>
      <c r="E21" t="s">
        <v>22</v>
      </c>
      <c r="F21" t="s">
        <v>458</v>
      </c>
      <c r="G21" t="s">
        <v>576</v>
      </c>
      <c r="H21" t="s">
        <v>576</v>
      </c>
      <c r="I21" t="s">
        <v>579</v>
      </c>
      <c r="J21" t="s">
        <v>32</v>
      </c>
      <c r="L21">
        <v>437</v>
      </c>
      <c r="M21" t="s">
        <v>297</v>
      </c>
      <c r="N21" t="s">
        <v>578</v>
      </c>
      <c r="O21" t="s">
        <v>27</v>
      </c>
      <c r="P21" t="s">
        <v>294</v>
      </c>
      <c r="Q21" t="s">
        <v>295</v>
      </c>
      <c r="R21">
        <v>252</v>
      </c>
      <c r="S21" t="str">
        <f>VLOOKUP(R21,Epics!A:B,2,FALSE)</f>
        <v>Pases a Producción</v>
      </c>
    </row>
    <row r="22" spans="1:19" x14ac:dyDescent="0.25">
      <c r="A22">
        <v>200</v>
      </c>
      <c r="B22" t="s">
        <v>19</v>
      </c>
      <c r="C22" t="s">
        <v>307</v>
      </c>
      <c r="D22" t="s">
        <v>65</v>
      </c>
      <c r="E22" t="s">
        <v>22</v>
      </c>
      <c r="F22" t="s">
        <v>69</v>
      </c>
      <c r="G22" t="s">
        <v>580</v>
      </c>
      <c r="H22" t="s">
        <v>581</v>
      </c>
      <c r="I22" t="s">
        <v>582</v>
      </c>
      <c r="J22" t="s">
        <v>32</v>
      </c>
      <c r="K22" t="s">
        <v>70</v>
      </c>
      <c r="L22">
        <v>319</v>
      </c>
      <c r="M22" t="s">
        <v>297</v>
      </c>
      <c r="N22" t="s">
        <v>583</v>
      </c>
      <c r="O22" t="s">
        <v>27</v>
      </c>
      <c r="P22" t="s">
        <v>294</v>
      </c>
      <c r="Q22" t="s">
        <v>295</v>
      </c>
      <c r="R22">
        <v>252</v>
      </c>
      <c r="S22" t="str">
        <f>VLOOKUP(R22,Epics!A:B,2,FALSE)</f>
        <v>Pases a Producción</v>
      </c>
    </row>
    <row r="23" spans="1:19" x14ac:dyDescent="0.25">
      <c r="A23">
        <v>207</v>
      </c>
      <c r="B23" t="s">
        <v>19</v>
      </c>
      <c r="C23" t="s">
        <v>308</v>
      </c>
      <c r="D23" t="s">
        <v>65</v>
      </c>
      <c r="E23" t="s">
        <v>22</v>
      </c>
      <c r="F23" t="s">
        <v>66</v>
      </c>
      <c r="G23" t="s">
        <v>584</v>
      </c>
      <c r="H23" t="s">
        <v>585</v>
      </c>
      <c r="I23" t="s">
        <v>586</v>
      </c>
      <c r="J23" t="s">
        <v>284</v>
      </c>
      <c r="L23">
        <v>324</v>
      </c>
      <c r="M23" t="s">
        <v>297</v>
      </c>
      <c r="N23" t="s">
        <v>587</v>
      </c>
      <c r="O23" t="s">
        <v>27</v>
      </c>
      <c r="P23" t="s">
        <v>294</v>
      </c>
      <c r="Q23" t="s">
        <v>295</v>
      </c>
      <c r="R23">
        <v>252</v>
      </c>
      <c r="S23" t="str">
        <f>VLOOKUP(R23,Epics!A:B,2,FALSE)</f>
        <v>Pases a Producción</v>
      </c>
    </row>
    <row r="24" spans="1:19" x14ac:dyDescent="0.25">
      <c r="A24">
        <v>508</v>
      </c>
      <c r="B24" t="s">
        <v>19</v>
      </c>
      <c r="C24" t="s">
        <v>516</v>
      </c>
      <c r="D24" t="s">
        <v>515</v>
      </c>
      <c r="E24" t="s">
        <v>22</v>
      </c>
      <c r="G24" t="s">
        <v>526</v>
      </c>
      <c r="H24" t="s">
        <v>588</v>
      </c>
      <c r="I24" t="s">
        <v>589</v>
      </c>
      <c r="J24" t="s">
        <v>32</v>
      </c>
      <c r="K24">
        <v>166255</v>
      </c>
      <c r="L24">
        <v>472</v>
      </c>
      <c r="M24" t="s">
        <v>297</v>
      </c>
      <c r="N24" t="s">
        <v>568</v>
      </c>
      <c r="O24" t="s">
        <v>27</v>
      </c>
      <c r="P24" t="s">
        <v>303</v>
      </c>
      <c r="Q24" t="s">
        <v>295</v>
      </c>
      <c r="R24">
        <v>252</v>
      </c>
      <c r="S24" t="str">
        <f>VLOOKUP(R24,Epics!A:B,2,FALSE)</f>
        <v>Pases a Producción</v>
      </c>
    </row>
    <row r="25" spans="1:19" x14ac:dyDescent="0.25">
      <c r="A25">
        <v>509</v>
      </c>
      <c r="B25" t="s">
        <v>19</v>
      </c>
      <c r="C25" t="s">
        <v>518</v>
      </c>
      <c r="D25" t="s">
        <v>515</v>
      </c>
      <c r="E25" t="s">
        <v>22</v>
      </c>
      <c r="G25" t="s">
        <v>526</v>
      </c>
      <c r="H25" t="s">
        <v>590</v>
      </c>
      <c r="I25" t="s">
        <v>591</v>
      </c>
      <c r="J25" t="s">
        <v>284</v>
      </c>
      <c r="K25">
        <v>166255</v>
      </c>
      <c r="L25">
        <v>473</v>
      </c>
      <c r="M25" t="s">
        <v>297</v>
      </c>
      <c r="N25" t="s">
        <v>568</v>
      </c>
      <c r="O25" t="s">
        <v>27</v>
      </c>
      <c r="P25" t="s">
        <v>294</v>
      </c>
      <c r="Q25" t="s">
        <v>295</v>
      </c>
      <c r="R25">
        <v>252</v>
      </c>
      <c r="S25" t="str">
        <f>VLOOKUP(R25,Epics!A:B,2,FALSE)</f>
        <v>Pases a Producción</v>
      </c>
    </row>
    <row r="26" spans="1:19" x14ac:dyDescent="0.25">
      <c r="A26">
        <v>505</v>
      </c>
      <c r="B26" t="s">
        <v>19</v>
      </c>
      <c r="C26" t="s">
        <v>505</v>
      </c>
      <c r="D26" t="s">
        <v>503</v>
      </c>
      <c r="E26" t="s">
        <v>22</v>
      </c>
      <c r="F26" t="s">
        <v>506</v>
      </c>
      <c r="G26" t="s">
        <v>592</v>
      </c>
      <c r="H26" t="s">
        <v>593</v>
      </c>
      <c r="J26" t="s">
        <v>32</v>
      </c>
      <c r="L26">
        <v>469</v>
      </c>
      <c r="O26" t="s">
        <v>27</v>
      </c>
      <c r="P26" t="s">
        <v>303</v>
      </c>
      <c r="Q26" t="s">
        <v>331</v>
      </c>
      <c r="R26">
        <v>252</v>
      </c>
      <c r="S26" t="str">
        <f>VLOOKUP(R26,Epics!A:B,2,FALSE)</f>
        <v>Pases a Producción</v>
      </c>
    </row>
    <row r="27" spans="1:19" x14ac:dyDescent="0.25">
      <c r="A27">
        <v>506</v>
      </c>
      <c r="B27" t="s">
        <v>19</v>
      </c>
      <c r="C27" t="s">
        <v>513</v>
      </c>
      <c r="D27" t="s">
        <v>503</v>
      </c>
      <c r="E27" t="s">
        <v>22</v>
      </c>
      <c r="G27" t="s">
        <v>594</v>
      </c>
      <c r="H27" t="s">
        <v>595</v>
      </c>
      <c r="I27" t="s">
        <v>596</v>
      </c>
      <c r="L27">
        <v>470</v>
      </c>
      <c r="M27" t="s">
        <v>297</v>
      </c>
      <c r="N27" t="s">
        <v>597</v>
      </c>
      <c r="O27" t="s">
        <v>27</v>
      </c>
      <c r="P27" t="s">
        <v>303</v>
      </c>
      <c r="Q27" t="s">
        <v>295</v>
      </c>
      <c r="R27">
        <v>252</v>
      </c>
      <c r="S27" t="str">
        <f>VLOOKUP(R27,Epics!A:B,2,FALSE)</f>
        <v>Pases a Producción</v>
      </c>
    </row>
    <row r="28" spans="1:19" x14ac:dyDescent="0.25">
      <c r="A28">
        <v>369</v>
      </c>
      <c r="B28" t="s">
        <v>19</v>
      </c>
      <c r="C28" t="s">
        <v>309</v>
      </c>
      <c r="D28" t="s">
        <v>281</v>
      </c>
      <c r="E28" t="s">
        <v>22</v>
      </c>
      <c r="F28" t="s">
        <v>282</v>
      </c>
      <c r="G28" t="s">
        <v>598</v>
      </c>
      <c r="H28" t="s">
        <v>598</v>
      </c>
      <c r="I28" t="s">
        <v>599</v>
      </c>
      <c r="J28" t="s">
        <v>32</v>
      </c>
      <c r="K28">
        <v>126994</v>
      </c>
      <c r="L28">
        <v>400</v>
      </c>
      <c r="M28" t="s">
        <v>297</v>
      </c>
      <c r="N28" t="s">
        <v>600</v>
      </c>
      <c r="O28" t="s">
        <v>27</v>
      </c>
      <c r="P28" t="s">
        <v>294</v>
      </c>
      <c r="Q28" t="s">
        <v>295</v>
      </c>
      <c r="R28">
        <v>252</v>
      </c>
      <c r="S28" t="str">
        <f>VLOOKUP(R28,Epics!A:B,2,FALSE)</f>
        <v>Pases a Producción</v>
      </c>
    </row>
    <row r="29" spans="1:19" x14ac:dyDescent="0.25">
      <c r="A29">
        <v>385</v>
      </c>
      <c r="B29" t="s">
        <v>19</v>
      </c>
      <c r="C29" t="s">
        <v>310</v>
      </c>
      <c r="D29" t="s">
        <v>281</v>
      </c>
      <c r="E29" t="s">
        <v>22</v>
      </c>
      <c r="F29" t="s">
        <v>283</v>
      </c>
      <c r="G29" t="s">
        <v>598</v>
      </c>
      <c r="H29" t="s">
        <v>598</v>
      </c>
      <c r="I29" t="s">
        <v>601</v>
      </c>
      <c r="J29" t="s">
        <v>32</v>
      </c>
      <c r="L29">
        <v>410</v>
      </c>
      <c r="M29" t="s">
        <v>297</v>
      </c>
      <c r="N29" t="s">
        <v>602</v>
      </c>
      <c r="O29" t="s">
        <v>27</v>
      </c>
      <c r="P29" t="s">
        <v>294</v>
      </c>
      <c r="Q29" t="s">
        <v>295</v>
      </c>
      <c r="R29">
        <v>252</v>
      </c>
      <c r="S29" t="str">
        <f>VLOOKUP(R29,Epics!A:B,2,FALSE)</f>
        <v>Pases a Producción</v>
      </c>
    </row>
    <row r="30" spans="1:19" x14ac:dyDescent="0.25">
      <c r="A30">
        <v>290</v>
      </c>
      <c r="B30" t="s">
        <v>19</v>
      </c>
      <c r="C30" t="s">
        <v>311</v>
      </c>
      <c r="D30" t="s">
        <v>56</v>
      </c>
      <c r="E30" t="s">
        <v>22</v>
      </c>
      <c r="F30" t="s">
        <v>58</v>
      </c>
      <c r="G30" t="s">
        <v>603</v>
      </c>
      <c r="H30" t="s">
        <v>603</v>
      </c>
      <c r="I30" t="s">
        <v>604</v>
      </c>
      <c r="J30" t="s">
        <v>32</v>
      </c>
      <c r="L30">
        <v>367</v>
      </c>
      <c r="M30" t="s">
        <v>297</v>
      </c>
      <c r="N30" t="s">
        <v>605</v>
      </c>
      <c r="O30" t="s">
        <v>27</v>
      </c>
      <c r="P30" t="s">
        <v>294</v>
      </c>
      <c r="Q30" t="s">
        <v>295</v>
      </c>
      <c r="R30">
        <v>252</v>
      </c>
      <c r="S30" t="str">
        <f>VLOOKUP(R30,Epics!A:B,2,FALSE)</f>
        <v>Pases a Producción</v>
      </c>
    </row>
    <row r="31" spans="1:19" x14ac:dyDescent="0.25">
      <c r="A31">
        <v>314</v>
      </c>
      <c r="B31" t="s">
        <v>19</v>
      </c>
      <c r="C31" t="s">
        <v>312</v>
      </c>
      <c r="D31" t="s">
        <v>31</v>
      </c>
      <c r="E31" t="s">
        <v>22</v>
      </c>
      <c r="G31" t="s">
        <v>528</v>
      </c>
      <c r="H31" t="s">
        <v>528</v>
      </c>
      <c r="I31" t="s">
        <v>606</v>
      </c>
      <c r="J31" t="s">
        <v>28</v>
      </c>
      <c r="K31">
        <v>118265</v>
      </c>
      <c r="L31">
        <v>377</v>
      </c>
      <c r="M31" t="s">
        <v>297</v>
      </c>
      <c r="N31" t="s">
        <v>607</v>
      </c>
      <c r="O31" t="s">
        <v>21</v>
      </c>
      <c r="P31" t="s">
        <v>303</v>
      </c>
      <c r="Q31" t="s">
        <v>304</v>
      </c>
      <c r="R31">
        <v>253</v>
      </c>
      <c r="S31" t="str">
        <f>VLOOKUP(R31,Epics!A:B,2,FALSE)</f>
        <v>WAPSA BI</v>
      </c>
    </row>
    <row r="32" spans="1:19" x14ac:dyDescent="0.25">
      <c r="A32">
        <v>241</v>
      </c>
      <c r="B32" t="s">
        <v>19</v>
      </c>
      <c r="C32" t="s">
        <v>313</v>
      </c>
      <c r="D32" t="s">
        <v>26</v>
      </c>
      <c r="E32" t="s">
        <v>22</v>
      </c>
      <c r="G32" t="s">
        <v>608</v>
      </c>
      <c r="H32" t="s">
        <v>609</v>
      </c>
      <c r="I32" t="s">
        <v>560</v>
      </c>
      <c r="J32" t="s">
        <v>28</v>
      </c>
      <c r="K32">
        <v>107784</v>
      </c>
      <c r="L32">
        <v>348</v>
      </c>
      <c r="M32" t="s">
        <v>297</v>
      </c>
      <c r="N32" t="s">
        <v>610</v>
      </c>
      <c r="O32" t="s">
        <v>27</v>
      </c>
      <c r="P32" t="s">
        <v>303</v>
      </c>
      <c r="Q32" t="s">
        <v>304</v>
      </c>
      <c r="R32">
        <v>253</v>
      </c>
      <c r="S32" t="str">
        <f>VLOOKUP(R32,Epics!A:B,2,FALSE)</f>
        <v>WAPSA BI</v>
      </c>
    </row>
    <row r="33" spans="1:19" x14ac:dyDescent="0.25">
      <c r="A33">
        <v>169</v>
      </c>
      <c r="B33" t="s">
        <v>19</v>
      </c>
      <c r="C33" t="s">
        <v>314</v>
      </c>
      <c r="D33" t="s">
        <v>35</v>
      </c>
      <c r="E33" t="s">
        <v>22</v>
      </c>
      <c r="G33" t="s">
        <v>611</v>
      </c>
      <c r="H33" t="s">
        <v>612</v>
      </c>
      <c r="I33" t="s">
        <v>581</v>
      </c>
      <c r="J33" t="s">
        <v>15</v>
      </c>
      <c r="L33">
        <v>298</v>
      </c>
      <c r="M33" t="s">
        <v>297</v>
      </c>
      <c r="N33" t="s">
        <v>613</v>
      </c>
      <c r="O33" t="s">
        <v>27</v>
      </c>
      <c r="P33" t="s">
        <v>303</v>
      </c>
      <c r="Q33" t="s">
        <v>304</v>
      </c>
      <c r="R33">
        <v>253</v>
      </c>
      <c r="S33" t="str">
        <f>VLOOKUP(R33,Epics!A:B,2,FALSE)</f>
        <v>WAPSA BI</v>
      </c>
    </row>
    <row r="34" spans="1:19" x14ac:dyDescent="0.25">
      <c r="A34">
        <v>203</v>
      </c>
      <c r="B34" t="s">
        <v>19</v>
      </c>
      <c r="C34" t="s">
        <v>315</v>
      </c>
      <c r="D34" t="s">
        <v>35</v>
      </c>
      <c r="E34" t="s">
        <v>22</v>
      </c>
      <c r="G34" t="s">
        <v>614</v>
      </c>
      <c r="H34" t="s">
        <v>614</v>
      </c>
      <c r="I34" t="s">
        <v>615</v>
      </c>
      <c r="J34" t="s">
        <v>28</v>
      </c>
      <c r="K34">
        <v>100715</v>
      </c>
      <c r="L34">
        <v>322</v>
      </c>
      <c r="M34" t="s">
        <v>297</v>
      </c>
      <c r="N34" t="s">
        <v>616</v>
      </c>
      <c r="O34" t="s">
        <v>27</v>
      </c>
      <c r="P34" t="s">
        <v>294</v>
      </c>
      <c r="Q34" t="s">
        <v>304</v>
      </c>
      <c r="R34">
        <v>253</v>
      </c>
      <c r="S34" t="str">
        <f>VLOOKUP(R34,Epics!A:B,2,FALSE)</f>
        <v>WAPSA BI</v>
      </c>
    </row>
    <row r="35" spans="1:19" x14ac:dyDescent="0.25">
      <c r="A35">
        <v>216</v>
      </c>
      <c r="B35" t="s">
        <v>19</v>
      </c>
      <c r="C35" t="s">
        <v>316</v>
      </c>
      <c r="D35" t="s">
        <v>20</v>
      </c>
      <c r="E35" t="s">
        <v>22</v>
      </c>
      <c r="G35" t="s">
        <v>615</v>
      </c>
      <c r="H35" t="s">
        <v>615</v>
      </c>
      <c r="I35" t="s">
        <v>617</v>
      </c>
      <c r="J35" t="s">
        <v>28</v>
      </c>
      <c r="K35">
        <v>103122</v>
      </c>
      <c r="L35">
        <v>328</v>
      </c>
      <c r="M35" t="s">
        <v>297</v>
      </c>
      <c r="N35" t="s">
        <v>618</v>
      </c>
      <c r="O35" t="s">
        <v>27</v>
      </c>
      <c r="P35" t="s">
        <v>303</v>
      </c>
      <c r="Q35" t="s">
        <v>304</v>
      </c>
      <c r="R35">
        <v>253</v>
      </c>
      <c r="S35" t="str">
        <f>VLOOKUP(R35,Epics!A:B,2,FALSE)</f>
        <v>WAPSA BI</v>
      </c>
    </row>
    <row r="36" spans="1:19" x14ac:dyDescent="0.25">
      <c r="A36">
        <v>226</v>
      </c>
      <c r="B36" t="s">
        <v>19</v>
      </c>
      <c r="C36" t="s">
        <v>317</v>
      </c>
      <c r="D36" t="s">
        <v>20</v>
      </c>
      <c r="E36" t="s">
        <v>22</v>
      </c>
      <c r="G36" t="s">
        <v>619</v>
      </c>
      <c r="H36" t="s">
        <v>620</v>
      </c>
      <c r="I36" t="s">
        <v>620</v>
      </c>
      <c r="J36" t="s">
        <v>28</v>
      </c>
      <c r="K36">
        <v>105868</v>
      </c>
      <c r="L36">
        <v>336</v>
      </c>
      <c r="M36" t="s">
        <v>297</v>
      </c>
      <c r="N36" t="s">
        <v>621</v>
      </c>
      <c r="O36" t="s">
        <v>21</v>
      </c>
      <c r="P36" t="s">
        <v>303</v>
      </c>
      <c r="Q36" t="s">
        <v>304</v>
      </c>
      <c r="R36">
        <v>253</v>
      </c>
      <c r="S36" t="str">
        <f>VLOOKUP(R36,Epics!A:B,2,FALSE)</f>
        <v>WAPSA BI</v>
      </c>
    </row>
    <row r="37" spans="1:19" x14ac:dyDescent="0.25">
      <c r="A37">
        <v>474</v>
      </c>
      <c r="B37" t="s">
        <v>19</v>
      </c>
      <c r="C37" t="s">
        <v>498</v>
      </c>
      <c r="D37" t="s">
        <v>488</v>
      </c>
      <c r="E37" t="s">
        <v>22</v>
      </c>
      <c r="F37" t="s">
        <v>479</v>
      </c>
      <c r="G37" t="s">
        <v>622</v>
      </c>
      <c r="H37" t="s">
        <v>529</v>
      </c>
      <c r="I37" t="s">
        <v>529</v>
      </c>
      <c r="J37" t="s">
        <v>32</v>
      </c>
      <c r="L37">
        <v>449</v>
      </c>
      <c r="M37" t="s">
        <v>297</v>
      </c>
      <c r="O37" t="s">
        <v>27</v>
      </c>
      <c r="P37" t="s">
        <v>294</v>
      </c>
      <c r="Q37" t="s">
        <v>331</v>
      </c>
      <c r="R37">
        <v>457</v>
      </c>
      <c r="S37" t="str">
        <f>VLOOKUP(R37,Epics!A:B,2,FALSE)</f>
        <v>Proyecto WAPSA 2025 - 2</v>
      </c>
    </row>
    <row r="38" spans="1:19" x14ac:dyDescent="0.25">
      <c r="A38">
        <v>484</v>
      </c>
      <c r="B38" t="s">
        <v>19</v>
      </c>
      <c r="C38" t="s">
        <v>483</v>
      </c>
      <c r="D38" t="s">
        <v>531</v>
      </c>
      <c r="E38" t="s">
        <v>27</v>
      </c>
      <c r="J38" t="s">
        <v>32</v>
      </c>
      <c r="L38">
        <v>452</v>
      </c>
      <c r="N38" t="s">
        <v>623</v>
      </c>
      <c r="O38" t="s">
        <v>27</v>
      </c>
      <c r="P38" t="s">
        <v>294</v>
      </c>
      <c r="Q38" t="s">
        <v>295</v>
      </c>
      <c r="R38">
        <v>457</v>
      </c>
      <c r="S38" t="str">
        <f>VLOOKUP(R38,Epics!A:B,2,FALSE)</f>
        <v>Proyecto WAPSA 2025 - 2</v>
      </c>
    </row>
    <row r="39" spans="1:19" x14ac:dyDescent="0.25">
      <c r="A39">
        <v>485</v>
      </c>
      <c r="B39" t="s">
        <v>19</v>
      </c>
      <c r="C39" t="s">
        <v>497</v>
      </c>
      <c r="D39" t="s">
        <v>531</v>
      </c>
      <c r="E39" t="s">
        <v>22</v>
      </c>
      <c r="F39" t="s">
        <v>479</v>
      </c>
      <c r="G39" t="s">
        <v>624</v>
      </c>
      <c r="H39" t="s">
        <v>625</v>
      </c>
      <c r="I39" t="s">
        <v>626</v>
      </c>
      <c r="J39" t="s">
        <v>32</v>
      </c>
      <c r="L39">
        <v>453</v>
      </c>
      <c r="M39" t="s">
        <v>327</v>
      </c>
      <c r="N39" t="s">
        <v>627</v>
      </c>
      <c r="O39" t="s">
        <v>27</v>
      </c>
      <c r="P39" t="s">
        <v>294</v>
      </c>
      <c r="Q39" t="s">
        <v>295</v>
      </c>
      <c r="R39">
        <v>457</v>
      </c>
      <c r="S39" t="str">
        <f>VLOOKUP(R39,Epics!A:B,2,FALSE)</f>
        <v>Proyecto WAPSA 2025 - 2</v>
      </c>
    </row>
    <row r="40" spans="1:19" x14ac:dyDescent="0.25">
      <c r="A40">
        <v>486</v>
      </c>
      <c r="B40" t="s">
        <v>19</v>
      </c>
      <c r="C40" t="s">
        <v>482</v>
      </c>
      <c r="D40" t="s">
        <v>531</v>
      </c>
      <c r="E40" t="s">
        <v>27</v>
      </c>
      <c r="J40" t="s">
        <v>32</v>
      </c>
      <c r="L40">
        <v>454</v>
      </c>
      <c r="N40" t="s">
        <v>623</v>
      </c>
      <c r="O40" t="s">
        <v>27</v>
      </c>
      <c r="P40" t="s">
        <v>294</v>
      </c>
      <c r="Q40" t="s">
        <v>295</v>
      </c>
      <c r="R40">
        <v>457</v>
      </c>
      <c r="S40" t="str">
        <f>VLOOKUP(R40,Epics!A:B,2,FALSE)</f>
        <v>Proyecto WAPSA 2025 - 2</v>
      </c>
    </row>
    <row r="41" spans="1:19" x14ac:dyDescent="0.25">
      <c r="A41">
        <v>507</v>
      </c>
      <c r="B41" t="s">
        <v>19</v>
      </c>
      <c r="C41" t="s">
        <v>514</v>
      </c>
      <c r="D41" t="s">
        <v>531</v>
      </c>
      <c r="E41" t="s">
        <v>27</v>
      </c>
      <c r="F41" t="s">
        <v>519</v>
      </c>
      <c r="G41" t="s">
        <v>595</v>
      </c>
      <c r="J41" t="s">
        <v>32</v>
      </c>
      <c r="L41">
        <v>471</v>
      </c>
      <c r="M41" t="s">
        <v>327</v>
      </c>
      <c r="O41" t="s">
        <v>27</v>
      </c>
      <c r="P41" t="s">
        <v>294</v>
      </c>
      <c r="Q41" t="s">
        <v>295</v>
      </c>
      <c r="R41">
        <v>457</v>
      </c>
      <c r="S41" t="str">
        <f>VLOOKUP(R41,Epics!A:B,2,FALSE)</f>
        <v>Proyecto WAPSA 2025 - 2</v>
      </c>
    </row>
    <row r="42" spans="1:19" x14ac:dyDescent="0.25">
      <c r="A42">
        <v>487</v>
      </c>
      <c r="B42" t="s">
        <v>19</v>
      </c>
      <c r="C42" t="s">
        <v>511</v>
      </c>
      <c r="D42" t="s">
        <v>503</v>
      </c>
      <c r="E42" t="s">
        <v>206</v>
      </c>
      <c r="G42" t="s">
        <v>628</v>
      </c>
      <c r="H42" t="s">
        <v>629</v>
      </c>
      <c r="I42" t="s">
        <v>629</v>
      </c>
      <c r="J42" t="s">
        <v>32</v>
      </c>
      <c r="L42">
        <v>455</v>
      </c>
      <c r="M42" t="s">
        <v>327</v>
      </c>
      <c r="N42" t="s">
        <v>623</v>
      </c>
      <c r="O42" t="s">
        <v>27</v>
      </c>
      <c r="P42" t="s">
        <v>294</v>
      </c>
      <c r="Q42" t="s">
        <v>295</v>
      </c>
      <c r="R42">
        <v>457</v>
      </c>
      <c r="S42" t="str">
        <f>VLOOKUP(R42,Epics!A:B,2,FALSE)</f>
        <v>Proyecto WAPSA 2025 - 2</v>
      </c>
    </row>
    <row r="43" spans="1:19" x14ac:dyDescent="0.25">
      <c r="A43">
        <v>455</v>
      </c>
      <c r="B43" t="s">
        <v>19</v>
      </c>
      <c r="C43" t="s">
        <v>470</v>
      </c>
      <c r="D43" t="s">
        <v>476</v>
      </c>
      <c r="E43" t="s">
        <v>22</v>
      </c>
      <c r="F43" t="s">
        <v>473</v>
      </c>
      <c r="G43" t="s">
        <v>630</v>
      </c>
      <c r="H43" t="s">
        <v>630</v>
      </c>
      <c r="J43" t="s">
        <v>32</v>
      </c>
      <c r="L43">
        <v>444</v>
      </c>
      <c r="M43" t="s">
        <v>297</v>
      </c>
      <c r="N43" t="s">
        <v>631</v>
      </c>
      <c r="O43" t="s">
        <v>27</v>
      </c>
      <c r="P43" t="s">
        <v>294</v>
      </c>
      <c r="Q43" t="s">
        <v>331</v>
      </c>
      <c r="R43">
        <v>457</v>
      </c>
      <c r="S43" t="str">
        <f>VLOOKUP(R43,Epics!A:B,2,FALSE)</f>
        <v>Proyecto WAPSA 2025 - 2</v>
      </c>
    </row>
    <row r="44" spans="1:19" x14ac:dyDescent="0.25">
      <c r="A44">
        <v>186</v>
      </c>
      <c r="B44" t="s">
        <v>19</v>
      </c>
      <c r="C44" t="s">
        <v>318</v>
      </c>
      <c r="D44" t="s">
        <v>49</v>
      </c>
      <c r="E44" t="s">
        <v>22</v>
      </c>
      <c r="F44" t="s">
        <v>50</v>
      </c>
      <c r="G44" t="s">
        <v>632</v>
      </c>
      <c r="H44" t="s">
        <v>633</v>
      </c>
      <c r="I44" t="s">
        <v>634</v>
      </c>
      <c r="J44" t="s">
        <v>105</v>
      </c>
      <c r="L44">
        <v>307</v>
      </c>
      <c r="M44" t="s">
        <v>297</v>
      </c>
      <c r="N44" t="s">
        <v>635</v>
      </c>
      <c r="O44" t="s">
        <v>27</v>
      </c>
      <c r="P44" t="s">
        <v>294</v>
      </c>
      <c r="Q44" t="s">
        <v>295</v>
      </c>
      <c r="R44">
        <v>210</v>
      </c>
      <c r="S44" t="str">
        <f>VLOOKUP(R44,Epics!A:B,2,FALSE)</f>
        <v>Proyecto WAPSA 2024 - 2</v>
      </c>
    </row>
    <row r="45" spans="1:19" x14ac:dyDescent="0.25">
      <c r="A45">
        <v>236</v>
      </c>
      <c r="B45" t="s">
        <v>19</v>
      </c>
      <c r="C45" t="s">
        <v>319</v>
      </c>
      <c r="D45" t="s">
        <v>49</v>
      </c>
      <c r="E45" t="s">
        <v>22</v>
      </c>
      <c r="F45" t="s">
        <v>50</v>
      </c>
      <c r="G45" t="s">
        <v>558</v>
      </c>
      <c r="H45" t="s">
        <v>636</v>
      </c>
      <c r="I45" t="s">
        <v>637</v>
      </c>
      <c r="J45" t="s">
        <v>79</v>
      </c>
      <c r="L45">
        <v>346</v>
      </c>
      <c r="M45" t="s">
        <v>297</v>
      </c>
      <c r="N45" t="s">
        <v>638</v>
      </c>
      <c r="O45" t="s">
        <v>27</v>
      </c>
      <c r="P45" t="s">
        <v>294</v>
      </c>
      <c r="Q45" t="s">
        <v>295</v>
      </c>
      <c r="R45">
        <v>210</v>
      </c>
      <c r="S45" t="str">
        <f>VLOOKUP(R45,Epics!A:B,2,FALSE)</f>
        <v>Proyecto WAPSA 2024 - 2</v>
      </c>
    </row>
    <row r="46" spans="1:19" x14ac:dyDescent="0.25">
      <c r="A46">
        <v>178</v>
      </c>
      <c r="B46" t="s">
        <v>19</v>
      </c>
      <c r="C46" t="s">
        <v>320</v>
      </c>
      <c r="D46" t="s">
        <v>31</v>
      </c>
      <c r="E46" t="s">
        <v>22</v>
      </c>
      <c r="F46" t="s">
        <v>53</v>
      </c>
      <c r="G46" t="s">
        <v>639</v>
      </c>
      <c r="H46" t="s">
        <v>640</v>
      </c>
      <c r="I46" t="s">
        <v>548</v>
      </c>
      <c r="J46" t="s">
        <v>79</v>
      </c>
      <c r="L46">
        <v>302</v>
      </c>
      <c r="M46" t="s">
        <v>297</v>
      </c>
      <c r="N46" t="s">
        <v>641</v>
      </c>
      <c r="O46" t="s">
        <v>27</v>
      </c>
      <c r="P46" t="s">
        <v>294</v>
      </c>
      <c r="Q46" t="s">
        <v>295</v>
      </c>
      <c r="R46">
        <v>210</v>
      </c>
      <c r="S46" t="str">
        <f>VLOOKUP(R46,Epics!A:B,2,FALSE)</f>
        <v>Proyecto WAPSA 2024 - 2</v>
      </c>
    </row>
    <row r="47" spans="1:19" x14ac:dyDescent="0.25">
      <c r="A47">
        <v>218</v>
      </c>
      <c r="B47" t="s">
        <v>19</v>
      </c>
      <c r="C47" t="s">
        <v>321</v>
      </c>
      <c r="D47" t="s">
        <v>26</v>
      </c>
      <c r="E47" t="s">
        <v>22</v>
      </c>
      <c r="F47" t="s">
        <v>43</v>
      </c>
      <c r="G47" t="s">
        <v>642</v>
      </c>
      <c r="H47" t="s">
        <v>643</v>
      </c>
      <c r="I47" t="s">
        <v>644</v>
      </c>
      <c r="J47" t="s">
        <v>79</v>
      </c>
      <c r="L47">
        <v>330</v>
      </c>
      <c r="M47" t="s">
        <v>297</v>
      </c>
      <c r="N47" t="s">
        <v>645</v>
      </c>
      <c r="O47" t="s">
        <v>27</v>
      </c>
      <c r="P47" t="s">
        <v>294</v>
      </c>
      <c r="Q47" t="s">
        <v>295</v>
      </c>
      <c r="R47">
        <v>210</v>
      </c>
      <c r="S47" t="str">
        <f>VLOOKUP(R47,Epics!A:B,2,FALSE)</f>
        <v>Proyecto WAPSA 2024 - 2</v>
      </c>
    </row>
    <row r="48" spans="1:19" x14ac:dyDescent="0.25">
      <c r="A48">
        <v>239</v>
      </c>
      <c r="B48" t="s">
        <v>19</v>
      </c>
      <c r="C48" t="s">
        <v>322</v>
      </c>
      <c r="D48" t="s">
        <v>26</v>
      </c>
      <c r="E48" t="s">
        <v>22</v>
      </c>
      <c r="G48" t="s">
        <v>644</v>
      </c>
      <c r="H48" t="s">
        <v>634</v>
      </c>
      <c r="I48" t="s">
        <v>634</v>
      </c>
      <c r="J48" t="s">
        <v>32</v>
      </c>
      <c r="L48">
        <v>347</v>
      </c>
      <c r="M48" t="s">
        <v>297</v>
      </c>
      <c r="N48" t="s">
        <v>646</v>
      </c>
      <c r="O48" t="s">
        <v>27</v>
      </c>
      <c r="P48" t="s">
        <v>323</v>
      </c>
      <c r="Q48" t="s">
        <v>295</v>
      </c>
      <c r="R48">
        <v>210</v>
      </c>
      <c r="S48" t="str">
        <f>VLOOKUP(R48,Epics!A:B,2,FALSE)</f>
        <v>Proyecto WAPSA 2024 - 2</v>
      </c>
    </row>
    <row r="49" spans="1:19" x14ac:dyDescent="0.25">
      <c r="A49">
        <v>240</v>
      </c>
      <c r="B49" t="s">
        <v>19</v>
      </c>
      <c r="C49" t="s">
        <v>324</v>
      </c>
      <c r="D49" t="s">
        <v>26</v>
      </c>
      <c r="E49" t="s">
        <v>22</v>
      </c>
      <c r="G49" t="s">
        <v>644</v>
      </c>
      <c r="H49" t="s">
        <v>634</v>
      </c>
      <c r="I49" t="s">
        <v>634</v>
      </c>
      <c r="J49" t="s">
        <v>32</v>
      </c>
      <c r="L49">
        <v>347</v>
      </c>
      <c r="M49" t="s">
        <v>297</v>
      </c>
      <c r="N49" t="s">
        <v>647</v>
      </c>
      <c r="O49" t="s">
        <v>27</v>
      </c>
      <c r="P49" t="s">
        <v>323</v>
      </c>
      <c r="Q49" t="s">
        <v>295</v>
      </c>
      <c r="R49">
        <v>210</v>
      </c>
      <c r="S49" t="str">
        <f>VLOOKUP(R49,Epics!A:B,2,FALSE)</f>
        <v>Proyecto WAPSA 2024 - 2</v>
      </c>
    </row>
    <row r="50" spans="1:19" x14ac:dyDescent="0.25">
      <c r="A50">
        <v>250</v>
      </c>
      <c r="B50" t="s">
        <v>19</v>
      </c>
      <c r="C50" t="s">
        <v>504</v>
      </c>
      <c r="D50" t="s">
        <v>515</v>
      </c>
      <c r="E50" t="s">
        <v>75</v>
      </c>
      <c r="F50" t="s">
        <v>100</v>
      </c>
      <c r="G50" t="s">
        <v>648</v>
      </c>
      <c r="J50" t="s">
        <v>284</v>
      </c>
      <c r="L50">
        <v>356</v>
      </c>
      <c r="M50" t="s">
        <v>297</v>
      </c>
      <c r="N50" t="s">
        <v>649</v>
      </c>
      <c r="O50" t="s">
        <v>27</v>
      </c>
      <c r="P50" t="s">
        <v>294</v>
      </c>
      <c r="Q50" t="s">
        <v>295</v>
      </c>
      <c r="R50">
        <v>210</v>
      </c>
      <c r="S50" t="str">
        <f>VLOOKUP(R50,Epics!A:B,2,FALSE)</f>
        <v>Proyecto WAPSA 2024 - 2</v>
      </c>
    </row>
    <row r="51" spans="1:19" x14ac:dyDescent="0.25">
      <c r="A51">
        <v>187</v>
      </c>
      <c r="B51" t="s">
        <v>19</v>
      </c>
      <c r="C51" t="s">
        <v>325</v>
      </c>
      <c r="D51" t="s">
        <v>56</v>
      </c>
      <c r="E51" t="s">
        <v>57</v>
      </c>
      <c r="F51" t="s">
        <v>100</v>
      </c>
      <c r="G51" t="s">
        <v>650</v>
      </c>
      <c r="H51" t="s">
        <v>633</v>
      </c>
      <c r="I51" t="s">
        <v>604</v>
      </c>
      <c r="J51" t="s">
        <v>119</v>
      </c>
      <c r="L51">
        <v>309</v>
      </c>
      <c r="M51" t="s">
        <v>297</v>
      </c>
      <c r="N51" t="s">
        <v>651</v>
      </c>
      <c r="O51" t="s">
        <v>27</v>
      </c>
      <c r="P51" t="s">
        <v>294</v>
      </c>
      <c r="Q51" t="s">
        <v>295</v>
      </c>
      <c r="R51">
        <v>210</v>
      </c>
      <c r="S51" t="str">
        <f>VLOOKUP(R51,Epics!A:B,2,FALSE)</f>
        <v>Proyecto WAPSA 2024 - 2</v>
      </c>
    </row>
    <row r="52" spans="1:19" x14ac:dyDescent="0.25">
      <c r="A52">
        <v>237</v>
      </c>
      <c r="B52" t="s">
        <v>19</v>
      </c>
      <c r="C52" t="s">
        <v>326</v>
      </c>
      <c r="D52" t="s">
        <v>56</v>
      </c>
      <c r="E52" t="s">
        <v>22</v>
      </c>
      <c r="F52" t="s">
        <v>50</v>
      </c>
      <c r="G52" t="s">
        <v>609</v>
      </c>
      <c r="H52" t="s">
        <v>652</v>
      </c>
      <c r="I52" t="s">
        <v>653</v>
      </c>
      <c r="J52" t="s">
        <v>79</v>
      </c>
      <c r="L52">
        <v>347</v>
      </c>
      <c r="M52" t="s">
        <v>327</v>
      </c>
      <c r="N52" t="s">
        <v>654</v>
      </c>
      <c r="O52" t="s">
        <v>27</v>
      </c>
      <c r="P52" t="s">
        <v>294</v>
      </c>
      <c r="Q52" t="s">
        <v>295</v>
      </c>
      <c r="R52">
        <v>210</v>
      </c>
      <c r="S52" t="str">
        <f>VLOOKUP(R52,Epics!A:B,2,FALSE)</f>
        <v>Proyecto WAPSA 2024 - 2</v>
      </c>
    </row>
    <row r="53" spans="1:19" x14ac:dyDescent="0.25">
      <c r="A53">
        <v>238</v>
      </c>
      <c r="B53" t="s">
        <v>19</v>
      </c>
      <c r="C53" t="s">
        <v>328</v>
      </c>
      <c r="D53" t="s">
        <v>56</v>
      </c>
      <c r="E53" t="s">
        <v>22</v>
      </c>
      <c r="F53" t="s">
        <v>58</v>
      </c>
      <c r="G53" t="s">
        <v>650</v>
      </c>
      <c r="H53" t="s">
        <v>634</v>
      </c>
      <c r="I53" t="s">
        <v>604</v>
      </c>
      <c r="J53" t="s">
        <v>110</v>
      </c>
      <c r="L53">
        <v>346</v>
      </c>
      <c r="M53" t="s">
        <v>297</v>
      </c>
      <c r="N53" t="s">
        <v>655</v>
      </c>
      <c r="O53" t="s">
        <v>27</v>
      </c>
      <c r="P53" t="s">
        <v>294</v>
      </c>
      <c r="Q53" t="s">
        <v>295</v>
      </c>
      <c r="R53">
        <v>210</v>
      </c>
      <c r="S53" t="str">
        <f>VLOOKUP(R53,Epics!A:B,2,FALSE)</f>
        <v>Proyecto WAPSA 2024 - 2</v>
      </c>
    </row>
    <row r="54" spans="1:19" x14ac:dyDescent="0.25">
      <c r="A54">
        <v>414</v>
      </c>
      <c r="B54" t="s">
        <v>19</v>
      </c>
      <c r="C54" t="s">
        <v>499</v>
      </c>
      <c r="D54" t="s">
        <v>488</v>
      </c>
      <c r="E54" t="s">
        <v>22</v>
      </c>
      <c r="F54" t="s">
        <v>479</v>
      </c>
      <c r="G54" t="s">
        <v>524</v>
      </c>
      <c r="H54" t="s">
        <v>656</v>
      </c>
      <c r="I54" t="s">
        <v>539</v>
      </c>
      <c r="J54" t="s">
        <v>79</v>
      </c>
      <c r="L54">
        <v>423</v>
      </c>
      <c r="M54" t="s">
        <v>327</v>
      </c>
      <c r="O54" t="s">
        <v>27</v>
      </c>
      <c r="P54" t="s">
        <v>294</v>
      </c>
      <c r="Q54" t="s">
        <v>295</v>
      </c>
      <c r="R54">
        <v>412</v>
      </c>
      <c r="S54" t="str">
        <f>VLOOKUP(R54,Epics!A:B,2,FALSE)</f>
        <v>Proyecto WAPSA 2025 - 1</v>
      </c>
    </row>
    <row r="55" spans="1:19" x14ac:dyDescent="0.25">
      <c r="A55">
        <v>418</v>
      </c>
      <c r="B55" t="s">
        <v>19</v>
      </c>
      <c r="C55" t="s">
        <v>468</v>
      </c>
      <c r="D55" t="s">
        <v>488</v>
      </c>
      <c r="E55" t="s">
        <v>22</v>
      </c>
      <c r="F55" t="s">
        <v>479</v>
      </c>
      <c r="G55" t="s">
        <v>657</v>
      </c>
      <c r="H55" t="s">
        <v>524</v>
      </c>
      <c r="I55" t="s">
        <v>529</v>
      </c>
      <c r="J55" t="s">
        <v>32</v>
      </c>
      <c r="L55">
        <v>428</v>
      </c>
      <c r="M55" t="s">
        <v>297</v>
      </c>
      <c r="N55" t="s">
        <v>658</v>
      </c>
      <c r="O55" t="s">
        <v>27</v>
      </c>
      <c r="P55" t="s">
        <v>294</v>
      </c>
      <c r="Q55" t="s">
        <v>331</v>
      </c>
      <c r="R55">
        <v>412</v>
      </c>
      <c r="S55" t="str">
        <f>VLOOKUP(R55,Epics!A:B,2,FALSE)</f>
        <v>Proyecto WAPSA 2025 - 1</v>
      </c>
    </row>
    <row r="56" spans="1:19" x14ac:dyDescent="0.25">
      <c r="A56">
        <v>431</v>
      </c>
      <c r="B56" t="s">
        <v>19</v>
      </c>
      <c r="C56" t="s">
        <v>448</v>
      </c>
      <c r="D56" t="s">
        <v>488</v>
      </c>
      <c r="E56" t="s">
        <v>22</v>
      </c>
      <c r="F56" t="s">
        <v>487</v>
      </c>
      <c r="G56" t="s">
        <v>659</v>
      </c>
      <c r="H56" t="s">
        <v>660</v>
      </c>
      <c r="I56" t="s">
        <v>661</v>
      </c>
      <c r="J56" t="s">
        <v>284</v>
      </c>
      <c r="L56">
        <v>428</v>
      </c>
      <c r="M56" t="s">
        <v>297</v>
      </c>
      <c r="O56" t="s">
        <v>27</v>
      </c>
      <c r="P56" t="s">
        <v>294</v>
      </c>
      <c r="Q56" t="s">
        <v>295</v>
      </c>
      <c r="R56">
        <v>412</v>
      </c>
      <c r="S56" t="str">
        <f>VLOOKUP(R56,Epics!A:B,2,FALSE)</f>
        <v>Proyecto WAPSA 2025 - 1</v>
      </c>
    </row>
    <row r="57" spans="1:19" x14ac:dyDescent="0.25">
      <c r="A57">
        <v>413</v>
      </c>
      <c r="B57" t="s">
        <v>19</v>
      </c>
      <c r="C57" t="s">
        <v>445</v>
      </c>
      <c r="D57" t="s">
        <v>446</v>
      </c>
      <c r="E57" t="s">
        <v>206</v>
      </c>
      <c r="F57" t="s">
        <v>329</v>
      </c>
      <c r="G57" t="s">
        <v>662</v>
      </c>
      <c r="H57" t="s">
        <v>663</v>
      </c>
      <c r="I57" t="s">
        <v>537</v>
      </c>
      <c r="J57" t="s">
        <v>32</v>
      </c>
      <c r="L57">
        <v>423</v>
      </c>
      <c r="M57" t="s">
        <v>297</v>
      </c>
      <c r="N57" t="s">
        <v>664</v>
      </c>
      <c r="O57" t="s">
        <v>27</v>
      </c>
      <c r="P57" t="s">
        <v>294</v>
      </c>
      <c r="Q57" t="s">
        <v>295</v>
      </c>
      <c r="R57">
        <v>412</v>
      </c>
      <c r="S57" t="str">
        <f>VLOOKUP(R57,Epics!A:B,2,FALSE)</f>
        <v>Proyecto WAPSA 2025 - 1</v>
      </c>
    </row>
    <row r="58" spans="1:19" x14ac:dyDescent="0.25">
      <c r="A58">
        <v>416</v>
      </c>
      <c r="B58" t="s">
        <v>19</v>
      </c>
      <c r="C58" t="s">
        <v>330</v>
      </c>
      <c r="D58" t="s">
        <v>531</v>
      </c>
      <c r="E58" t="s">
        <v>27</v>
      </c>
      <c r="G58" t="s">
        <v>665</v>
      </c>
      <c r="H58" t="s">
        <v>666</v>
      </c>
      <c r="I58" t="s">
        <v>666</v>
      </c>
      <c r="J58" t="s">
        <v>32</v>
      </c>
      <c r="L58">
        <v>425</v>
      </c>
      <c r="M58" t="s">
        <v>297</v>
      </c>
      <c r="N58" t="s">
        <v>667</v>
      </c>
      <c r="O58" t="s">
        <v>27</v>
      </c>
      <c r="P58" t="s">
        <v>294</v>
      </c>
      <c r="Q58" t="s">
        <v>295</v>
      </c>
      <c r="R58">
        <v>412</v>
      </c>
      <c r="S58" t="str">
        <f>VLOOKUP(R58,Epics!A:B,2,FALSE)</f>
        <v>Proyecto WAPSA 2025 - 1</v>
      </c>
    </row>
    <row r="59" spans="1:19" x14ac:dyDescent="0.25">
      <c r="A59">
        <v>417</v>
      </c>
      <c r="B59" t="s">
        <v>19</v>
      </c>
      <c r="C59" t="s">
        <v>447</v>
      </c>
      <c r="D59" t="s">
        <v>503</v>
      </c>
      <c r="E59" t="s">
        <v>22</v>
      </c>
      <c r="G59" t="s">
        <v>668</v>
      </c>
      <c r="H59" t="s">
        <v>669</v>
      </c>
      <c r="I59" t="s">
        <v>669</v>
      </c>
      <c r="J59" t="s">
        <v>284</v>
      </c>
      <c r="L59">
        <v>426</v>
      </c>
      <c r="M59" t="s">
        <v>297</v>
      </c>
      <c r="N59" t="s">
        <v>670</v>
      </c>
      <c r="O59" t="s">
        <v>27</v>
      </c>
      <c r="P59" t="s">
        <v>294</v>
      </c>
      <c r="Q59" t="s">
        <v>295</v>
      </c>
      <c r="R59">
        <v>412</v>
      </c>
      <c r="S59" t="str">
        <f>VLOOKUP(R59,Epics!A:B,2,FALSE)</f>
        <v>Proyecto WAPSA 2025 - 1</v>
      </c>
    </row>
    <row r="60" spans="1:19" x14ac:dyDescent="0.25">
      <c r="A60">
        <v>415</v>
      </c>
      <c r="B60" t="s">
        <v>19</v>
      </c>
      <c r="C60" t="s">
        <v>474</v>
      </c>
      <c r="D60" t="s">
        <v>476</v>
      </c>
      <c r="E60" t="s">
        <v>22</v>
      </c>
      <c r="F60" t="s">
        <v>473</v>
      </c>
      <c r="G60" t="s">
        <v>671</v>
      </c>
      <c r="H60" t="s">
        <v>660</v>
      </c>
      <c r="J60" t="s">
        <v>79</v>
      </c>
      <c r="L60">
        <v>424</v>
      </c>
      <c r="M60" t="s">
        <v>297</v>
      </c>
      <c r="O60" t="s">
        <v>27</v>
      </c>
      <c r="P60" t="s">
        <v>294</v>
      </c>
      <c r="Q60" t="s">
        <v>295</v>
      </c>
      <c r="R60">
        <v>412</v>
      </c>
      <c r="S60" t="str">
        <f>VLOOKUP(R60,Epics!A:B,2,FALSE)</f>
        <v>Proyecto WAPSA 2025 - 1</v>
      </c>
    </row>
    <row r="61" spans="1:19" x14ac:dyDescent="0.25">
      <c r="A61">
        <v>419</v>
      </c>
      <c r="B61" t="s">
        <v>19</v>
      </c>
      <c r="C61" t="s">
        <v>450</v>
      </c>
      <c r="D61" t="s">
        <v>476</v>
      </c>
      <c r="E61" t="s">
        <v>22</v>
      </c>
      <c r="F61" t="s">
        <v>473</v>
      </c>
      <c r="G61" t="s">
        <v>659</v>
      </c>
      <c r="H61" t="s">
        <v>672</v>
      </c>
      <c r="J61" t="s">
        <v>32</v>
      </c>
      <c r="L61">
        <v>428</v>
      </c>
      <c r="M61" t="s">
        <v>297</v>
      </c>
      <c r="O61" t="s">
        <v>27</v>
      </c>
      <c r="P61" t="s">
        <v>294</v>
      </c>
      <c r="Q61" t="s">
        <v>295</v>
      </c>
      <c r="R61">
        <v>412</v>
      </c>
      <c r="S61" t="str">
        <f>VLOOKUP(R61,Epics!A:B,2,FALSE)</f>
        <v>Proyecto WAPSA 2025 - 1</v>
      </c>
    </row>
    <row r="62" spans="1:19" x14ac:dyDescent="0.25">
      <c r="A62">
        <v>180</v>
      </c>
      <c r="B62" t="s">
        <v>19</v>
      </c>
      <c r="C62" t="s">
        <v>449</v>
      </c>
      <c r="D62" t="s">
        <v>444</v>
      </c>
      <c r="E62" t="s">
        <v>206</v>
      </c>
      <c r="F62" t="s">
        <v>329</v>
      </c>
      <c r="G62" t="s">
        <v>673</v>
      </c>
      <c r="H62" t="s">
        <v>674</v>
      </c>
      <c r="I62" t="s">
        <v>537</v>
      </c>
      <c r="J62" t="s">
        <v>32</v>
      </c>
      <c r="L62">
        <v>422</v>
      </c>
      <c r="M62" t="s">
        <v>297</v>
      </c>
      <c r="N62" t="s">
        <v>675</v>
      </c>
      <c r="O62" t="s">
        <v>27</v>
      </c>
      <c r="P62" t="s">
        <v>294</v>
      </c>
      <c r="Q62" t="s">
        <v>295</v>
      </c>
      <c r="R62">
        <v>412</v>
      </c>
      <c r="S62" t="str">
        <f>VLOOKUP(R62,Epics!A:B,2,FALSE)</f>
        <v>Proyecto WAPSA 2025 - 1</v>
      </c>
    </row>
    <row r="63" spans="1:19" x14ac:dyDescent="0.25">
      <c r="A63">
        <v>459</v>
      </c>
      <c r="B63" t="s">
        <v>19</v>
      </c>
      <c r="C63" t="s">
        <v>475</v>
      </c>
      <c r="D63" t="s">
        <v>478</v>
      </c>
      <c r="E63" t="s">
        <v>22</v>
      </c>
      <c r="G63" t="s">
        <v>676</v>
      </c>
      <c r="H63" t="s">
        <v>538</v>
      </c>
      <c r="I63" t="s">
        <v>538</v>
      </c>
      <c r="J63" t="s">
        <v>105</v>
      </c>
      <c r="L63">
        <v>446</v>
      </c>
      <c r="N63" t="s">
        <v>677</v>
      </c>
      <c r="O63" t="s">
        <v>27</v>
      </c>
      <c r="P63" t="s">
        <v>303</v>
      </c>
      <c r="Q63" t="s">
        <v>295</v>
      </c>
      <c r="R63">
        <v>161</v>
      </c>
      <c r="S63" t="str">
        <f>VLOOKUP(R63,Epics!A:B,2,FALSE)</f>
        <v>Soporte</v>
      </c>
    </row>
    <row r="64" spans="1:19" x14ac:dyDescent="0.25">
      <c r="A64">
        <v>465</v>
      </c>
      <c r="B64" t="s">
        <v>19</v>
      </c>
      <c r="C64" t="s">
        <v>486</v>
      </c>
      <c r="D64" t="s">
        <v>478</v>
      </c>
      <c r="E64" t="s">
        <v>22</v>
      </c>
      <c r="G64" t="s">
        <v>678</v>
      </c>
      <c r="H64" t="s">
        <v>628</v>
      </c>
      <c r="I64" t="s">
        <v>624</v>
      </c>
      <c r="J64" t="s">
        <v>32</v>
      </c>
      <c r="L64">
        <v>448</v>
      </c>
      <c r="O64" t="s">
        <v>27</v>
      </c>
      <c r="P64" t="s">
        <v>303</v>
      </c>
      <c r="Q64" t="s">
        <v>295</v>
      </c>
      <c r="R64">
        <v>161</v>
      </c>
      <c r="S64" t="str">
        <f>VLOOKUP(R64,Epics!A:B,2,FALSE)</f>
        <v>Soporte</v>
      </c>
    </row>
    <row r="65" spans="1:19" x14ac:dyDescent="0.25">
      <c r="A65">
        <v>488</v>
      </c>
      <c r="B65" t="s">
        <v>19</v>
      </c>
      <c r="C65" t="s">
        <v>496</v>
      </c>
      <c r="D65" t="s">
        <v>478</v>
      </c>
      <c r="E65" t="s">
        <v>22</v>
      </c>
      <c r="F65" t="s">
        <v>481</v>
      </c>
      <c r="G65" t="s">
        <v>679</v>
      </c>
      <c r="H65" t="s">
        <v>680</v>
      </c>
      <c r="I65" t="s">
        <v>681</v>
      </c>
      <c r="J65" t="s">
        <v>32</v>
      </c>
      <c r="L65">
        <v>457</v>
      </c>
      <c r="M65" t="s">
        <v>297</v>
      </c>
      <c r="N65" t="s">
        <v>682</v>
      </c>
      <c r="O65" t="s">
        <v>21</v>
      </c>
      <c r="P65" t="s">
        <v>303</v>
      </c>
      <c r="Q65" t="s">
        <v>295</v>
      </c>
      <c r="R65">
        <v>161</v>
      </c>
      <c r="S65" t="str">
        <f>VLOOKUP(R65,Epics!A:B,2,FALSE)</f>
        <v>Soporte</v>
      </c>
    </row>
    <row r="66" spans="1:19" x14ac:dyDescent="0.25">
      <c r="A66">
        <v>246</v>
      </c>
      <c r="B66" t="s">
        <v>19</v>
      </c>
      <c r="C66" t="s">
        <v>332</v>
      </c>
      <c r="D66" t="s">
        <v>49</v>
      </c>
      <c r="E66" t="s">
        <v>22</v>
      </c>
      <c r="F66" t="s">
        <v>50</v>
      </c>
      <c r="G66" t="s">
        <v>561</v>
      </c>
      <c r="H66" t="s">
        <v>683</v>
      </c>
      <c r="I66" t="s">
        <v>684</v>
      </c>
      <c r="J66" t="s">
        <v>32</v>
      </c>
      <c r="L66">
        <v>353</v>
      </c>
      <c r="M66" t="s">
        <v>297</v>
      </c>
      <c r="N66" t="s">
        <v>685</v>
      </c>
      <c r="O66" t="s">
        <v>27</v>
      </c>
      <c r="P66" t="s">
        <v>333</v>
      </c>
      <c r="Q66" t="s">
        <v>331</v>
      </c>
      <c r="R66">
        <v>161</v>
      </c>
      <c r="S66" t="str">
        <f>VLOOKUP(R66,Epics!A:B,2,FALSE)</f>
        <v>Soporte</v>
      </c>
    </row>
    <row r="67" spans="1:19" x14ac:dyDescent="0.25">
      <c r="A67">
        <v>297</v>
      </c>
      <c r="B67" t="s">
        <v>19</v>
      </c>
      <c r="C67" t="s">
        <v>334</v>
      </c>
      <c r="D67" t="s">
        <v>49</v>
      </c>
      <c r="E67" t="s">
        <v>22</v>
      </c>
      <c r="G67" t="s">
        <v>686</v>
      </c>
      <c r="H67" t="s">
        <v>686</v>
      </c>
      <c r="I67" t="s">
        <v>637</v>
      </c>
      <c r="J67" t="s">
        <v>28</v>
      </c>
      <c r="K67">
        <v>117280</v>
      </c>
      <c r="L67">
        <v>371</v>
      </c>
      <c r="M67" t="s">
        <v>297</v>
      </c>
      <c r="N67" t="s">
        <v>687</v>
      </c>
      <c r="O67" t="s">
        <v>21</v>
      </c>
      <c r="P67" t="s">
        <v>303</v>
      </c>
      <c r="Q67" t="s">
        <v>304</v>
      </c>
      <c r="R67">
        <v>161</v>
      </c>
      <c r="S67" t="str">
        <f>VLOOKUP(R67,Epics!A:B,2,FALSE)</f>
        <v>Soporte</v>
      </c>
    </row>
    <row r="68" spans="1:19" x14ac:dyDescent="0.25">
      <c r="A68">
        <v>310</v>
      </c>
      <c r="B68" t="s">
        <v>19</v>
      </c>
      <c r="C68" t="s">
        <v>335</v>
      </c>
      <c r="D68" t="s">
        <v>49</v>
      </c>
      <c r="E68" t="s">
        <v>206</v>
      </c>
      <c r="G68" t="s">
        <v>688</v>
      </c>
      <c r="H68" t="s">
        <v>688</v>
      </c>
      <c r="I68" t="s">
        <v>689</v>
      </c>
      <c r="J68" t="s">
        <v>32</v>
      </c>
      <c r="L68">
        <v>374</v>
      </c>
      <c r="M68" t="s">
        <v>297</v>
      </c>
      <c r="N68" t="s">
        <v>690</v>
      </c>
      <c r="O68" t="s">
        <v>27</v>
      </c>
      <c r="P68" t="s">
        <v>294</v>
      </c>
      <c r="Q68" t="s">
        <v>295</v>
      </c>
      <c r="R68">
        <v>161</v>
      </c>
      <c r="S68" t="str">
        <f>VLOOKUP(R68,Epics!A:B,2,FALSE)</f>
        <v>Soporte</v>
      </c>
    </row>
    <row r="69" spans="1:19" x14ac:dyDescent="0.25">
      <c r="A69">
        <v>315</v>
      </c>
      <c r="B69" t="s">
        <v>19</v>
      </c>
      <c r="C69" t="s">
        <v>336</v>
      </c>
      <c r="D69" t="s">
        <v>49</v>
      </c>
      <c r="E69" t="s">
        <v>22</v>
      </c>
      <c r="G69" t="s">
        <v>691</v>
      </c>
      <c r="H69" t="s">
        <v>691</v>
      </c>
      <c r="I69" t="s">
        <v>691</v>
      </c>
      <c r="J69" t="s">
        <v>32</v>
      </c>
      <c r="L69">
        <v>378</v>
      </c>
      <c r="M69" t="s">
        <v>297</v>
      </c>
      <c r="N69" t="s">
        <v>692</v>
      </c>
      <c r="O69" t="s">
        <v>27</v>
      </c>
      <c r="P69" t="s">
        <v>323</v>
      </c>
      <c r="Q69" t="s">
        <v>295</v>
      </c>
      <c r="R69">
        <v>161</v>
      </c>
      <c r="S69" t="str">
        <f>VLOOKUP(R69,Epics!A:B,2,FALSE)</f>
        <v>Soporte</v>
      </c>
    </row>
    <row r="70" spans="1:19" x14ac:dyDescent="0.25">
      <c r="A70">
        <v>332</v>
      </c>
      <c r="B70" t="s">
        <v>19</v>
      </c>
      <c r="C70" t="s">
        <v>337</v>
      </c>
      <c r="D70" t="s">
        <v>49</v>
      </c>
      <c r="E70" t="s">
        <v>22</v>
      </c>
      <c r="G70" t="s">
        <v>693</v>
      </c>
      <c r="H70" t="s">
        <v>693</v>
      </c>
      <c r="I70" t="s">
        <v>693</v>
      </c>
      <c r="J70" t="s">
        <v>32</v>
      </c>
      <c r="L70">
        <v>382</v>
      </c>
      <c r="M70" t="s">
        <v>297</v>
      </c>
      <c r="N70" t="s">
        <v>694</v>
      </c>
      <c r="O70" t="s">
        <v>27</v>
      </c>
      <c r="P70" t="s">
        <v>338</v>
      </c>
      <c r="Q70" t="s">
        <v>295</v>
      </c>
      <c r="R70">
        <v>161</v>
      </c>
      <c r="S70" t="str">
        <f>VLOOKUP(R70,Epics!A:B,2,FALSE)</f>
        <v>Soporte</v>
      </c>
    </row>
    <row r="71" spans="1:19" x14ac:dyDescent="0.25">
      <c r="A71">
        <v>345</v>
      </c>
      <c r="B71" t="s">
        <v>19</v>
      </c>
      <c r="C71" t="s">
        <v>378</v>
      </c>
      <c r="D71" t="s">
        <v>488</v>
      </c>
      <c r="E71" t="s">
        <v>22</v>
      </c>
      <c r="F71" t="s">
        <v>500</v>
      </c>
      <c r="G71" t="s">
        <v>695</v>
      </c>
      <c r="H71" t="s">
        <v>696</v>
      </c>
      <c r="I71" t="s">
        <v>661</v>
      </c>
      <c r="J71" t="s">
        <v>284</v>
      </c>
      <c r="L71">
        <v>385</v>
      </c>
      <c r="M71" t="s">
        <v>297</v>
      </c>
      <c r="N71" t="s">
        <v>697</v>
      </c>
      <c r="O71" t="s">
        <v>27</v>
      </c>
      <c r="P71" t="s">
        <v>294</v>
      </c>
      <c r="Q71" t="s">
        <v>295</v>
      </c>
      <c r="R71">
        <v>161</v>
      </c>
      <c r="S71" t="str">
        <f>VLOOKUP(R71,Epics!A:B,2,FALSE)</f>
        <v>Soporte</v>
      </c>
    </row>
    <row r="72" spans="1:19" x14ac:dyDescent="0.25">
      <c r="A72">
        <v>378</v>
      </c>
      <c r="B72" t="s">
        <v>19</v>
      </c>
      <c r="C72" t="s">
        <v>380</v>
      </c>
      <c r="D72" t="s">
        <v>488</v>
      </c>
      <c r="E72" t="s">
        <v>22</v>
      </c>
      <c r="F72" t="s">
        <v>487</v>
      </c>
      <c r="G72" t="s">
        <v>698</v>
      </c>
      <c r="H72" t="s">
        <v>699</v>
      </c>
      <c r="I72" t="s">
        <v>661</v>
      </c>
      <c r="J72" t="s">
        <v>284</v>
      </c>
      <c r="L72">
        <v>403</v>
      </c>
      <c r="M72" t="s">
        <v>297</v>
      </c>
      <c r="N72" t="s">
        <v>700</v>
      </c>
      <c r="O72" t="s">
        <v>27</v>
      </c>
      <c r="P72" t="s">
        <v>294</v>
      </c>
      <c r="Q72" t="s">
        <v>295</v>
      </c>
      <c r="R72">
        <v>161</v>
      </c>
      <c r="S72" t="str">
        <f>VLOOKUP(R72,Epics!A:B,2,FALSE)</f>
        <v>Soporte</v>
      </c>
    </row>
    <row r="73" spans="1:19" x14ac:dyDescent="0.25">
      <c r="A73">
        <v>479</v>
      </c>
      <c r="B73" t="s">
        <v>19</v>
      </c>
      <c r="C73" t="s">
        <v>485</v>
      </c>
      <c r="D73" t="s">
        <v>488</v>
      </c>
      <c r="E73" t="s">
        <v>206</v>
      </c>
      <c r="F73" t="s">
        <v>479</v>
      </c>
      <c r="G73" t="s">
        <v>701</v>
      </c>
      <c r="H73" t="s">
        <v>702</v>
      </c>
      <c r="I73" t="s">
        <v>529</v>
      </c>
      <c r="J73" t="s">
        <v>32</v>
      </c>
      <c r="L73">
        <v>450</v>
      </c>
      <c r="O73" t="s">
        <v>27</v>
      </c>
      <c r="P73" t="s">
        <v>303</v>
      </c>
      <c r="Q73" t="s">
        <v>331</v>
      </c>
      <c r="R73">
        <v>161</v>
      </c>
      <c r="S73" t="str">
        <f>VLOOKUP(R73,Epics!A:B,2,FALSE)</f>
        <v>Soporte</v>
      </c>
    </row>
    <row r="74" spans="1:19" x14ac:dyDescent="0.25">
      <c r="A74">
        <v>480</v>
      </c>
      <c r="B74" t="s">
        <v>19</v>
      </c>
      <c r="C74" t="s">
        <v>484</v>
      </c>
      <c r="D74" t="s">
        <v>488</v>
      </c>
      <c r="E74" t="s">
        <v>22</v>
      </c>
      <c r="F74" t="s">
        <v>479</v>
      </c>
      <c r="G74" t="s">
        <v>701</v>
      </c>
      <c r="H74" t="s">
        <v>703</v>
      </c>
      <c r="I74" t="s">
        <v>529</v>
      </c>
      <c r="J74" t="s">
        <v>32</v>
      </c>
      <c r="L74">
        <v>451</v>
      </c>
      <c r="M74" t="s">
        <v>297</v>
      </c>
      <c r="O74" t="s">
        <v>27</v>
      </c>
      <c r="P74" t="s">
        <v>303</v>
      </c>
      <c r="Q74" t="s">
        <v>331</v>
      </c>
      <c r="R74">
        <v>161</v>
      </c>
      <c r="S74" t="str">
        <f>VLOOKUP(R74,Epics!A:B,2,FALSE)</f>
        <v>Soporte</v>
      </c>
    </row>
    <row r="75" spans="1:19" x14ac:dyDescent="0.25">
      <c r="A75">
        <v>489</v>
      </c>
      <c r="B75" t="s">
        <v>19</v>
      </c>
      <c r="C75" t="s">
        <v>480</v>
      </c>
      <c r="D75" t="s">
        <v>488</v>
      </c>
      <c r="E75" t="s">
        <v>22</v>
      </c>
      <c r="F75" t="s">
        <v>481</v>
      </c>
      <c r="G75" t="s">
        <v>704</v>
      </c>
      <c r="H75" t="s">
        <v>705</v>
      </c>
      <c r="I75" t="s">
        <v>529</v>
      </c>
      <c r="J75" t="s">
        <v>32</v>
      </c>
      <c r="L75">
        <v>456</v>
      </c>
      <c r="M75" t="s">
        <v>297</v>
      </c>
      <c r="N75" t="s">
        <v>706</v>
      </c>
      <c r="O75" t="s">
        <v>27</v>
      </c>
      <c r="P75" t="s">
        <v>303</v>
      </c>
      <c r="Q75" t="s">
        <v>331</v>
      </c>
      <c r="R75">
        <v>161</v>
      </c>
      <c r="S75" t="str">
        <f>VLOOKUP(R75,Epics!A:B,2,FALSE)</f>
        <v>Soporte</v>
      </c>
    </row>
    <row r="76" spans="1:19" x14ac:dyDescent="0.25">
      <c r="A76">
        <v>308</v>
      </c>
      <c r="B76" t="s">
        <v>19</v>
      </c>
      <c r="C76" t="s">
        <v>339</v>
      </c>
      <c r="D76" t="s">
        <v>31</v>
      </c>
      <c r="E76" t="s">
        <v>22</v>
      </c>
      <c r="F76" t="s">
        <v>53</v>
      </c>
      <c r="G76" t="s">
        <v>707</v>
      </c>
      <c r="H76" t="s">
        <v>693</v>
      </c>
      <c r="I76" t="s">
        <v>548</v>
      </c>
      <c r="J76" t="s">
        <v>32</v>
      </c>
      <c r="L76">
        <v>372</v>
      </c>
      <c r="M76" t="s">
        <v>297</v>
      </c>
      <c r="N76" t="s">
        <v>708</v>
      </c>
      <c r="O76" t="s">
        <v>27</v>
      </c>
      <c r="P76" t="s">
        <v>294</v>
      </c>
      <c r="Q76" t="s">
        <v>295</v>
      </c>
      <c r="R76">
        <v>161</v>
      </c>
      <c r="S76" t="str">
        <f>VLOOKUP(R76,Epics!A:B,2,FALSE)</f>
        <v>Soporte</v>
      </c>
    </row>
    <row r="77" spans="1:19" x14ac:dyDescent="0.25">
      <c r="A77">
        <v>309</v>
      </c>
      <c r="B77" t="s">
        <v>19</v>
      </c>
      <c r="C77" t="s">
        <v>340</v>
      </c>
      <c r="D77" t="s">
        <v>31</v>
      </c>
      <c r="E77" t="s">
        <v>22</v>
      </c>
      <c r="F77" t="s">
        <v>53</v>
      </c>
      <c r="G77" t="s">
        <v>709</v>
      </c>
      <c r="H77" t="s">
        <v>709</v>
      </c>
      <c r="I77" t="s">
        <v>548</v>
      </c>
      <c r="J77" t="s">
        <v>79</v>
      </c>
      <c r="L77">
        <v>373</v>
      </c>
      <c r="M77" t="s">
        <v>297</v>
      </c>
      <c r="N77" t="s">
        <v>710</v>
      </c>
      <c r="O77" t="s">
        <v>27</v>
      </c>
      <c r="P77" t="s">
        <v>294</v>
      </c>
      <c r="Q77" t="s">
        <v>295</v>
      </c>
      <c r="R77">
        <v>161</v>
      </c>
      <c r="S77" t="str">
        <f>VLOOKUP(R77,Epics!A:B,2,FALSE)</f>
        <v>Soporte</v>
      </c>
    </row>
    <row r="78" spans="1:19" x14ac:dyDescent="0.25">
      <c r="A78">
        <v>311</v>
      </c>
      <c r="B78" t="s">
        <v>19</v>
      </c>
      <c r="C78" t="s">
        <v>341</v>
      </c>
      <c r="D78" t="s">
        <v>31</v>
      </c>
      <c r="E78" t="s">
        <v>22</v>
      </c>
      <c r="F78" t="s">
        <v>53</v>
      </c>
      <c r="G78" t="s">
        <v>691</v>
      </c>
      <c r="H78" t="s">
        <v>711</v>
      </c>
      <c r="I78" t="s">
        <v>548</v>
      </c>
      <c r="J78" t="s">
        <v>32</v>
      </c>
      <c r="L78">
        <v>375</v>
      </c>
      <c r="M78" t="s">
        <v>297</v>
      </c>
      <c r="N78" t="s">
        <v>712</v>
      </c>
      <c r="O78" t="s">
        <v>27</v>
      </c>
      <c r="P78" t="s">
        <v>303</v>
      </c>
      <c r="Q78" t="s">
        <v>304</v>
      </c>
      <c r="R78">
        <v>161</v>
      </c>
      <c r="S78" t="str">
        <f>VLOOKUP(R78,Epics!A:B,2,FALSE)</f>
        <v>Soporte</v>
      </c>
    </row>
    <row r="79" spans="1:19" x14ac:dyDescent="0.25">
      <c r="A79">
        <v>312</v>
      </c>
      <c r="B79" t="s">
        <v>19</v>
      </c>
      <c r="C79" t="s">
        <v>342</v>
      </c>
      <c r="D79" t="s">
        <v>31</v>
      </c>
      <c r="E79" t="s">
        <v>22</v>
      </c>
      <c r="F79" t="s">
        <v>53</v>
      </c>
      <c r="G79" t="s">
        <v>528</v>
      </c>
      <c r="H79" t="s">
        <v>528</v>
      </c>
      <c r="I79" t="s">
        <v>548</v>
      </c>
      <c r="J79" t="s">
        <v>32</v>
      </c>
      <c r="L79">
        <v>376</v>
      </c>
      <c r="M79" t="s">
        <v>297</v>
      </c>
      <c r="N79" t="s">
        <v>713</v>
      </c>
      <c r="O79" t="s">
        <v>27</v>
      </c>
      <c r="P79" t="s">
        <v>343</v>
      </c>
      <c r="Q79" t="s">
        <v>331</v>
      </c>
      <c r="R79">
        <v>161</v>
      </c>
      <c r="S79" t="str">
        <f>VLOOKUP(R79,Epics!A:B,2,FALSE)</f>
        <v>Soporte</v>
      </c>
    </row>
    <row r="80" spans="1:19" x14ac:dyDescent="0.25">
      <c r="A80">
        <v>325</v>
      </c>
      <c r="B80" t="s">
        <v>19</v>
      </c>
      <c r="C80" t="s">
        <v>344</v>
      </c>
      <c r="D80" t="s">
        <v>31</v>
      </c>
      <c r="E80" t="s">
        <v>22</v>
      </c>
      <c r="G80" t="s">
        <v>640</v>
      </c>
      <c r="H80" t="s">
        <v>640</v>
      </c>
      <c r="I80" t="s">
        <v>714</v>
      </c>
      <c r="J80" t="s">
        <v>32</v>
      </c>
      <c r="K80">
        <v>118649</v>
      </c>
      <c r="L80">
        <v>381</v>
      </c>
      <c r="M80" t="s">
        <v>297</v>
      </c>
      <c r="N80" t="s">
        <v>715</v>
      </c>
      <c r="O80" t="s">
        <v>27</v>
      </c>
      <c r="P80" t="s">
        <v>303</v>
      </c>
      <c r="Q80" t="s">
        <v>331</v>
      </c>
      <c r="R80">
        <v>161</v>
      </c>
      <c r="S80" t="str">
        <f>VLOOKUP(R80,Epics!A:B,2,FALSE)</f>
        <v>Soporte</v>
      </c>
    </row>
    <row r="81" spans="1:19" x14ac:dyDescent="0.25">
      <c r="A81">
        <v>333</v>
      </c>
      <c r="B81" t="s">
        <v>19</v>
      </c>
      <c r="C81" t="s">
        <v>345</v>
      </c>
      <c r="D81" t="s">
        <v>31</v>
      </c>
      <c r="E81" t="s">
        <v>22</v>
      </c>
      <c r="F81" t="s">
        <v>53</v>
      </c>
      <c r="G81" t="s">
        <v>716</v>
      </c>
      <c r="H81" t="s">
        <v>717</v>
      </c>
      <c r="I81" t="s">
        <v>548</v>
      </c>
      <c r="J81" t="s">
        <v>32</v>
      </c>
      <c r="L81">
        <v>383</v>
      </c>
      <c r="M81" t="s">
        <v>297</v>
      </c>
      <c r="N81" t="s">
        <v>718</v>
      </c>
      <c r="O81" t="s">
        <v>27</v>
      </c>
      <c r="P81" t="s">
        <v>294</v>
      </c>
      <c r="Q81" t="s">
        <v>295</v>
      </c>
      <c r="R81">
        <v>161</v>
      </c>
      <c r="S81" t="str">
        <f>VLOOKUP(R81,Epics!A:B,2,FALSE)</f>
        <v>Soporte</v>
      </c>
    </row>
    <row r="82" spans="1:19" x14ac:dyDescent="0.25">
      <c r="A82">
        <v>344</v>
      </c>
      <c r="B82" t="s">
        <v>19</v>
      </c>
      <c r="C82" t="s">
        <v>346</v>
      </c>
      <c r="D82" t="s">
        <v>31</v>
      </c>
      <c r="E82" t="s">
        <v>22</v>
      </c>
      <c r="G82" t="s">
        <v>695</v>
      </c>
      <c r="H82" t="s">
        <v>719</v>
      </c>
      <c r="I82" t="s">
        <v>719</v>
      </c>
      <c r="J82" t="s">
        <v>32</v>
      </c>
      <c r="L82">
        <v>384</v>
      </c>
      <c r="M82" t="s">
        <v>297</v>
      </c>
      <c r="N82" t="s">
        <v>720</v>
      </c>
      <c r="O82" t="s">
        <v>27</v>
      </c>
      <c r="P82" t="s">
        <v>303</v>
      </c>
      <c r="Q82" t="s">
        <v>304</v>
      </c>
      <c r="R82">
        <v>161</v>
      </c>
      <c r="S82" t="str">
        <f>VLOOKUP(R82,Epics!A:B,2,FALSE)</f>
        <v>Soporte</v>
      </c>
    </row>
    <row r="83" spans="1:19" x14ac:dyDescent="0.25">
      <c r="A83">
        <v>461</v>
      </c>
      <c r="B83" t="s">
        <v>19</v>
      </c>
      <c r="C83" t="s">
        <v>477</v>
      </c>
      <c r="D83" t="s">
        <v>502</v>
      </c>
      <c r="E83" t="s">
        <v>22</v>
      </c>
      <c r="G83" t="s">
        <v>721</v>
      </c>
      <c r="H83" t="s">
        <v>722</v>
      </c>
      <c r="J83" t="s">
        <v>105</v>
      </c>
      <c r="L83">
        <v>447</v>
      </c>
      <c r="N83" t="s">
        <v>723</v>
      </c>
      <c r="O83" t="s">
        <v>27</v>
      </c>
      <c r="P83" t="s">
        <v>303</v>
      </c>
      <c r="Q83" t="s">
        <v>295</v>
      </c>
      <c r="R83">
        <v>161</v>
      </c>
      <c r="S83" t="str">
        <f>VLOOKUP(R83,Epics!A:B,2,FALSE)</f>
        <v>Soporte</v>
      </c>
    </row>
    <row r="84" spans="1:19" x14ac:dyDescent="0.25">
      <c r="A84">
        <v>324</v>
      </c>
      <c r="B84" t="s">
        <v>19</v>
      </c>
      <c r="C84" t="s">
        <v>347</v>
      </c>
      <c r="D84" t="s">
        <v>164</v>
      </c>
      <c r="E84" t="s">
        <v>22</v>
      </c>
      <c r="G84" t="s">
        <v>640</v>
      </c>
      <c r="H84" t="s">
        <v>640</v>
      </c>
      <c r="I84" t="s">
        <v>640</v>
      </c>
      <c r="J84" t="s">
        <v>32</v>
      </c>
      <c r="L84">
        <v>380</v>
      </c>
      <c r="M84" t="s">
        <v>297</v>
      </c>
      <c r="N84" t="s">
        <v>720</v>
      </c>
      <c r="O84" t="s">
        <v>27</v>
      </c>
      <c r="P84" t="s">
        <v>343</v>
      </c>
      <c r="Q84" t="s">
        <v>331</v>
      </c>
      <c r="R84">
        <v>161</v>
      </c>
      <c r="S84" t="str">
        <f>VLOOKUP(R84,Epics!A:B,2,FALSE)</f>
        <v>Soporte</v>
      </c>
    </row>
    <row r="85" spans="1:19" x14ac:dyDescent="0.25">
      <c r="A85">
        <v>346</v>
      </c>
      <c r="B85" t="s">
        <v>19</v>
      </c>
      <c r="C85" t="s">
        <v>348</v>
      </c>
      <c r="D85" t="s">
        <v>164</v>
      </c>
      <c r="E85" t="s">
        <v>22</v>
      </c>
      <c r="G85" t="s">
        <v>724</v>
      </c>
      <c r="H85" t="s">
        <v>724</v>
      </c>
      <c r="I85" t="s">
        <v>725</v>
      </c>
      <c r="J85" t="s">
        <v>182</v>
      </c>
      <c r="K85">
        <v>122042</v>
      </c>
      <c r="L85">
        <v>386</v>
      </c>
      <c r="M85" t="s">
        <v>297</v>
      </c>
      <c r="N85" t="s">
        <v>726</v>
      </c>
      <c r="O85" t="s">
        <v>27</v>
      </c>
      <c r="P85" t="s">
        <v>303</v>
      </c>
      <c r="Q85" t="s">
        <v>331</v>
      </c>
      <c r="R85">
        <v>161</v>
      </c>
      <c r="S85" t="str">
        <f>VLOOKUP(R85,Epics!A:B,2,FALSE)</f>
        <v>Soporte</v>
      </c>
    </row>
    <row r="86" spans="1:19" x14ac:dyDescent="0.25">
      <c r="A86">
        <v>347</v>
      </c>
      <c r="B86" t="s">
        <v>19</v>
      </c>
      <c r="C86" t="s">
        <v>349</v>
      </c>
      <c r="D86" t="s">
        <v>164</v>
      </c>
      <c r="E86" t="s">
        <v>206</v>
      </c>
      <c r="F86" t="s">
        <v>282</v>
      </c>
      <c r="G86" t="s">
        <v>727</v>
      </c>
      <c r="H86" t="s">
        <v>725</v>
      </c>
      <c r="I86" t="s">
        <v>599</v>
      </c>
      <c r="J86" t="s">
        <v>32</v>
      </c>
      <c r="L86">
        <v>387</v>
      </c>
      <c r="M86" t="s">
        <v>297</v>
      </c>
      <c r="N86" t="s">
        <v>728</v>
      </c>
      <c r="O86" t="s">
        <v>27</v>
      </c>
      <c r="P86" t="s">
        <v>294</v>
      </c>
      <c r="Q86" t="s">
        <v>295</v>
      </c>
      <c r="R86">
        <v>161</v>
      </c>
      <c r="S86" t="str">
        <f>VLOOKUP(R86,Epics!A:B,2,FALSE)</f>
        <v>Soporte</v>
      </c>
    </row>
    <row r="87" spans="1:19" x14ac:dyDescent="0.25">
      <c r="A87">
        <v>349</v>
      </c>
      <c r="B87" t="s">
        <v>19</v>
      </c>
      <c r="C87" t="s">
        <v>350</v>
      </c>
      <c r="D87" t="s">
        <v>164</v>
      </c>
      <c r="E87" t="s">
        <v>22</v>
      </c>
      <c r="G87" t="s">
        <v>729</v>
      </c>
      <c r="H87" t="s">
        <v>729</v>
      </c>
      <c r="I87" t="s">
        <v>730</v>
      </c>
      <c r="J87" t="s">
        <v>32</v>
      </c>
      <c r="K87">
        <v>123056</v>
      </c>
      <c r="L87">
        <v>388</v>
      </c>
      <c r="M87" t="s">
        <v>297</v>
      </c>
      <c r="N87" t="s">
        <v>731</v>
      </c>
      <c r="O87" t="s">
        <v>27</v>
      </c>
      <c r="P87" t="s">
        <v>303</v>
      </c>
      <c r="Q87" t="s">
        <v>304</v>
      </c>
      <c r="R87">
        <v>161</v>
      </c>
      <c r="S87" t="str">
        <f>VLOOKUP(R87,Epics!A:B,2,FALSE)</f>
        <v>Soporte</v>
      </c>
    </row>
    <row r="88" spans="1:19" x14ac:dyDescent="0.25">
      <c r="A88">
        <v>350</v>
      </c>
      <c r="B88" t="s">
        <v>19</v>
      </c>
      <c r="C88" t="s">
        <v>351</v>
      </c>
      <c r="D88" t="s">
        <v>164</v>
      </c>
      <c r="E88" t="s">
        <v>22</v>
      </c>
      <c r="G88" t="s">
        <v>729</v>
      </c>
      <c r="H88" t="s">
        <v>732</v>
      </c>
      <c r="I88" t="s">
        <v>599</v>
      </c>
      <c r="J88" t="s">
        <v>32</v>
      </c>
      <c r="L88">
        <v>389</v>
      </c>
      <c r="M88" t="s">
        <v>297</v>
      </c>
      <c r="N88" t="s">
        <v>733</v>
      </c>
      <c r="O88" t="s">
        <v>27</v>
      </c>
      <c r="P88" t="s">
        <v>294</v>
      </c>
      <c r="Q88" t="s">
        <v>295</v>
      </c>
      <c r="R88">
        <v>161</v>
      </c>
      <c r="S88" t="str">
        <f>VLOOKUP(R88,Epics!A:B,2,FALSE)</f>
        <v>Soporte</v>
      </c>
    </row>
    <row r="89" spans="1:19" x14ac:dyDescent="0.25">
      <c r="A89">
        <v>352</v>
      </c>
      <c r="B89" t="s">
        <v>19</v>
      </c>
      <c r="C89" t="s">
        <v>352</v>
      </c>
      <c r="D89" t="s">
        <v>164</v>
      </c>
      <c r="E89" t="s">
        <v>22</v>
      </c>
      <c r="G89" t="s">
        <v>725</v>
      </c>
      <c r="H89" t="s">
        <v>725</v>
      </c>
      <c r="I89" t="s">
        <v>725</v>
      </c>
      <c r="J89" t="s">
        <v>32</v>
      </c>
      <c r="L89">
        <v>390</v>
      </c>
      <c r="M89" t="s">
        <v>297</v>
      </c>
      <c r="N89" t="s">
        <v>734</v>
      </c>
      <c r="O89" t="s">
        <v>27</v>
      </c>
      <c r="P89" t="s">
        <v>343</v>
      </c>
      <c r="Q89" t="s">
        <v>331</v>
      </c>
      <c r="R89">
        <v>161</v>
      </c>
      <c r="S89" t="str">
        <f>VLOOKUP(R89,Epics!A:B,2,FALSE)</f>
        <v>Soporte</v>
      </c>
    </row>
    <row r="90" spans="1:19" x14ac:dyDescent="0.25">
      <c r="A90">
        <v>354</v>
      </c>
      <c r="B90" t="s">
        <v>19</v>
      </c>
      <c r="C90" t="s">
        <v>353</v>
      </c>
      <c r="D90" t="s">
        <v>164</v>
      </c>
      <c r="E90" t="s">
        <v>22</v>
      </c>
      <c r="G90" t="s">
        <v>729</v>
      </c>
      <c r="H90" t="s">
        <v>732</v>
      </c>
      <c r="I90" t="s">
        <v>599</v>
      </c>
      <c r="J90" t="s">
        <v>32</v>
      </c>
      <c r="K90">
        <v>123862</v>
      </c>
      <c r="L90">
        <v>391</v>
      </c>
      <c r="M90" t="s">
        <v>297</v>
      </c>
      <c r="N90" t="s">
        <v>735</v>
      </c>
      <c r="O90" t="s">
        <v>27</v>
      </c>
      <c r="P90" t="s">
        <v>343</v>
      </c>
      <c r="Q90" t="s">
        <v>331</v>
      </c>
      <c r="R90">
        <v>161</v>
      </c>
      <c r="S90" t="str">
        <f>VLOOKUP(R90,Epics!A:B,2,FALSE)</f>
        <v>Soporte</v>
      </c>
    </row>
    <row r="91" spans="1:19" x14ac:dyDescent="0.25">
      <c r="A91">
        <v>355</v>
      </c>
      <c r="B91" t="s">
        <v>19</v>
      </c>
      <c r="C91" t="s">
        <v>354</v>
      </c>
      <c r="D91" t="s">
        <v>164</v>
      </c>
      <c r="E91" t="s">
        <v>206</v>
      </c>
      <c r="F91" t="s">
        <v>282</v>
      </c>
      <c r="G91" t="s">
        <v>732</v>
      </c>
      <c r="H91" t="s">
        <v>732</v>
      </c>
      <c r="I91" t="s">
        <v>736</v>
      </c>
      <c r="J91" t="s">
        <v>32</v>
      </c>
      <c r="L91">
        <v>393</v>
      </c>
      <c r="M91" t="s">
        <v>297</v>
      </c>
      <c r="N91" t="s">
        <v>737</v>
      </c>
      <c r="O91" t="s">
        <v>27</v>
      </c>
      <c r="P91" t="s">
        <v>294</v>
      </c>
      <c r="Q91" t="s">
        <v>295</v>
      </c>
      <c r="R91">
        <v>161</v>
      </c>
      <c r="S91" t="str">
        <f>VLOOKUP(R91,Epics!A:B,2,FALSE)</f>
        <v>Soporte</v>
      </c>
    </row>
    <row r="92" spans="1:19" x14ac:dyDescent="0.25">
      <c r="A92">
        <v>356</v>
      </c>
      <c r="B92" t="s">
        <v>19</v>
      </c>
      <c r="C92" t="s">
        <v>355</v>
      </c>
      <c r="D92" t="s">
        <v>164</v>
      </c>
      <c r="E92" t="s">
        <v>22</v>
      </c>
      <c r="G92" t="s">
        <v>738</v>
      </c>
      <c r="H92" t="s">
        <v>739</v>
      </c>
      <c r="I92" t="s">
        <v>740</v>
      </c>
      <c r="J92" t="s">
        <v>32</v>
      </c>
      <c r="K92">
        <v>123862</v>
      </c>
      <c r="L92">
        <v>392</v>
      </c>
      <c r="M92" t="s">
        <v>297</v>
      </c>
      <c r="N92" t="s">
        <v>741</v>
      </c>
      <c r="O92" t="s">
        <v>27</v>
      </c>
      <c r="P92" t="s">
        <v>294</v>
      </c>
      <c r="Q92" t="s">
        <v>295</v>
      </c>
      <c r="R92">
        <v>161</v>
      </c>
      <c r="S92" t="str">
        <f>VLOOKUP(R92,Epics!A:B,2,FALSE)</f>
        <v>Soporte</v>
      </c>
    </row>
    <row r="93" spans="1:19" x14ac:dyDescent="0.25">
      <c r="A93">
        <v>359</v>
      </c>
      <c r="B93" t="s">
        <v>19</v>
      </c>
      <c r="C93" t="s">
        <v>356</v>
      </c>
      <c r="D93" t="s">
        <v>164</v>
      </c>
      <c r="E93" t="s">
        <v>206</v>
      </c>
      <c r="F93" t="s">
        <v>282</v>
      </c>
      <c r="G93" t="s">
        <v>725</v>
      </c>
      <c r="H93" t="s">
        <v>725</v>
      </c>
      <c r="I93" t="s">
        <v>599</v>
      </c>
      <c r="J93" t="s">
        <v>32</v>
      </c>
      <c r="L93">
        <v>394</v>
      </c>
      <c r="M93" t="s">
        <v>297</v>
      </c>
      <c r="N93" t="s">
        <v>742</v>
      </c>
      <c r="O93" t="s">
        <v>27</v>
      </c>
      <c r="P93" t="s">
        <v>343</v>
      </c>
      <c r="Q93" t="s">
        <v>331</v>
      </c>
      <c r="R93">
        <v>161</v>
      </c>
      <c r="S93" t="str">
        <f>VLOOKUP(R93,Epics!A:B,2,FALSE)</f>
        <v>Soporte</v>
      </c>
    </row>
    <row r="94" spans="1:19" x14ac:dyDescent="0.25">
      <c r="A94">
        <v>360</v>
      </c>
      <c r="B94" t="s">
        <v>19</v>
      </c>
      <c r="C94" t="s">
        <v>357</v>
      </c>
      <c r="D94" t="s">
        <v>164</v>
      </c>
      <c r="E94" t="s">
        <v>206</v>
      </c>
      <c r="F94" t="s">
        <v>282</v>
      </c>
      <c r="G94" t="s">
        <v>739</v>
      </c>
      <c r="H94" t="s">
        <v>739</v>
      </c>
      <c r="I94" t="s">
        <v>599</v>
      </c>
      <c r="J94" t="s">
        <v>32</v>
      </c>
      <c r="L94">
        <v>395</v>
      </c>
      <c r="M94" t="s">
        <v>297</v>
      </c>
      <c r="N94" t="s">
        <v>743</v>
      </c>
      <c r="O94" t="s">
        <v>27</v>
      </c>
      <c r="P94" t="s">
        <v>343</v>
      </c>
      <c r="Q94" t="s">
        <v>331</v>
      </c>
      <c r="R94">
        <v>161</v>
      </c>
      <c r="S94" t="str">
        <f>VLOOKUP(R94,Epics!A:B,2,FALSE)</f>
        <v>Soporte</v>
      </c>
    </row>
    <row r="95" spans="1:19" x14ac:dyDescent="0.25">
      <c r="A95">
        <v>361</v>
      </c>
      <c r="B95" t="s">
        <v>19</v>
      </c>
      <c r="C95" t="s">
        <v>358</v>
      </c>
      <c r="D95" t="s">
        <v>164</v>
      </c>
      <c r="E95" t="s">
        <v>206</v>
      </c>
      <c r="F95" t="s">
        <v>282</v>
      </c>
      <c r="G95" t="s">
        <v>744</v>
      </c>
      <c r="H95" t="s">
        <v>745</v>
      </c>
      <c r="I95" t="s">
        <v>746</v>
      </c>
      <c r="J95" t="s">
        <v>32</v>
      </c>
      <c r="L95">
        <v>396</v>
      </c>
      <c r="M95" t="s">
        <v>297</v>
      </c>
      <c r="N95" t="s">
        <v>747</v>
      </c>
      <c r="O95" t="s">
        <v>27</v>
      </c>
      <c r="P95" t="s">
        <v>294</v>
      </c>
      <c r="Q95" t="s">
        <v>295</v>
      </c>
      <c r="R95">
        <v>161</v>
      </c>
      <c r="S95" t="str">
        <f>VLOOKUP(R95,Epics!A:B,2,FALSE)</f>
        <v>Soporte</v>
      </c>
    </row>
    <row r="96" spans="1:19" x14ac:dyDescent="0.25">
      <c r="A96">
        <v>367</v>
      </c>
      <c r="B96" t="s">
        <v>19</v>
      </c>
      <c r="C96" t="s">
        <v>359</v>
      </c>
      <c r="D96" t="s">
        <v>164</v>
      </c>
      <c r="E96" t="s">
        <v>206</v>
      </c>
      <c r="F96" t="s">
        <v>282</v>
      </c>
      <c r="G96" t="s">
        <v>748</v>
      </c>
      <c r="H96" t="s">
        <v>748</v>
      </c>
      <c r="I96" t="s">
        <v>599</v>
      </c>
      <c r="J96" t="s">
        <v>32</v>
      </c>
      <c r="L96">
        <v>398</v>
      </c>
      <c r="M96" t="s">
        <v>297</v>
      </c>
      <c r="N96" t="s">
        <v>749</v>
      </c>
      <c r="O96" t="s">
        <v>27</v>
      </c>
      <c r="P96" t="s">
        <v>294</v>
      </c>
      <c r="Q96" t="s">
        <v>295</v>
      </c>
      <c r="R96">
        <v>161</v>
      </c>
      <c r="S96" t="str">
        <f>VLOOKUP(R96,Epics!A:B,2,FALSE)</f>
        <v>Soporte</v>
      </c>
    </row>
    <row r="97" spans="1:19" x14ac:dyDescent="0.25">
      <c r="A97">
        <v>384</v>
      </c>
      <c r="B97" t="s">
        <v>19</v>
      </c>
      <c r="C97" t="s">
        <v>360</v>
      </c>
      <c r="D97" t="s">
        <v>164</v>
      </c>
      <c r="E97" t="s">
        <v>22</v>
      </c>
      <c r="G97" t="s">
        <v>745</v>
      </c>
      <c r="H97" t="s">
        <v>745</v>
      </c>
      <c r="I97" t="s">
        <v>750</v>
      </c>
      <c r="J97" t="s">
        <v>32</v>
      </c>
      <c r="K97">
        <v>127796</v>
      </c>
      <c r="L97">
        <v>408</v>
      </c>
      <c r="M97" t="s">
        <v>297</v>
      </c>
      <c r="N97" t="s">
        <v>741</v>
      </c>
      <c r="O97" t="s">
        <v>27</v>
      </c>
      <c r="P97" t="s">
        <v>343</v>
      </c>
      <c r="Q97" t="s">
        <v>331</v>
      </c>
      <c r="R97">
        <v>161</v>
      </c>
      <c r="S97" t="str">
        <f>VLOOKUP(R97,Epics!A:B,2,FALSE)</f>
        <v>Soporte</v>
      </c>
    </row>
    <row r="98" spans="1:19" x14ac:dyDescent="0.25">
      <c r="A98">
        <v>219</v>
      </c>
      <c r="B98" t="s">
        <v>19</v>
      </c>
      <c r="C98" t="s">
        <v>361</v>
      </c>
      <c r="D98" t="s">
        <v>26</v>
      </c>
      <c r="E98" t="s">
        <v>22</v>
      </c>
      <c r="F98" t="s">
        <v>43</v>
      </c>
      <c r="G98" t="s">
        <v>643</v>
      </c>
      <c r="H98" t="s">
        <v>751</v>
      </c>
      <c r="I98" t="s">
        <v>644</v>
      </c>
      <c r="J98" t="s">
        <v>32</v>
      </c>
      <c r="L98">
        <v>331</v>
      </c>
      <c r="M98" t="s">
        <v>297</v>
      </c>
      <c r="N98" t="s">
        <v>752</v>
      </c>
      <c r="O98" t="s">
        <v>27</v>
      </c>
      <c r="P98" t="s">
        <v>294</v>
      </c>
      <c r="Q98" t="s">
        <v>295</v>
      </c>
      <c r="R98">
        <v>161</v>
      </c>
      <c r="S98" t="str">
        <f>VLOOKUP(R98,Epics!A:B,2,FALSE)</f>
        <v>Soporte</v>
      </c>
    </row>
    <row r="99" spans="1:19" x14ac:dyDescent="0.25">
      <c r="A99">
        <v>225</v>
      </c>
      <c r="B99" t="s">
        <v>19</v>
      </c>
      <c r="C99" t="s">
        <v>362</v>
      </c>
      <c r="D99" t="s">
        <v>26</v>
      </c>
      <c r="E99" t="s">
        <v>22</v>
      </c>
      <c r="G99" t="s">
        <v>619</v>
      </c>
      <c r="H99" t="s">
        <v>753</v>
      </c>
      <c r="I99" t="s">
        <v>753</v>
      </c>
      <c r="J99" t="s">
        <v>105</v>
      </c>
      <c r="K99">
        <v>107778</v>
      </c>
      <c r="L99">
        <v>335</v>
      </c>
      <c r="M99" t="s">
        <v>297</v>
      </c>
      <c r="N99" t="s">
        <v>754</v>
      </c>
      <c r="O99" t="s">
        <v>27</v>
      </c>
      <c r="P99" t="s">
        <v>294</v>
      </c>
      <c r="Q99" t="s">
        <v>295</v>
      </c>
      <c r="R99">
        <v>161</v>
      </c>
      <c r="S99" t="str">
        <f>VLOOKUP(R99,Epics!A:B,2,FALSE)</f>
        <v>Soporte</v>
      </c>
    </row>
    <row r="100" spans="1:19" x14ac:dyDescent="0.25">
      <c r="A100">
        <v>228</v>
      </c>
      <c r="B100" t="s">
        <v>19</v>
      </c>
      <c r="C100" t="s">
        <v>363</v>
      </c>
      <c r="D100" t="s">
        <v>26</v>
      </c>
      <c r="E100" t="s">
        <v>22</v>
      </c>
      <c r="F100" t="s">
        <v>43</v>
      </c>
      <c r="G100" t="s">
        <v>755</v>
      </c>
      <c r="H100" t="s">
        <v>755</v>
      </c>
      <c r="I100" t="s">
        <v>644</v>
      </c>
      <c r="J100" t="s">
        <v>32</v>
      </c>
      <c r="L100">
        <v>338</v>
      </c>
      <c r="M100" t="s">
        <v>297</v>
      </c>
      <c r="N100" t="s">
        <v>756</v>
      </c>
      <c r="O100" t="s">
        <v>27</v>
      </c>
      <c r="P100" t="s">
        <v>294</v>
      </c>
      <c r="Q100" t="s">
        <v>295</v>
      </c>
      <c r="R100">
        <v>161</v>
      </c>
      <c r="S100" t="str">
        <f>VLOOKUP(R100,Epics!A:B,2,FALSE)</f>
        <v>Soporte</v>
      </c>
    </row>
    <row r="101" spans="1:19" x14ac:dyDescent="0.25">
      <c r="A101">
        <v>229</v>
      </c>
      <c r="B101" t="s">
        <v>19</v>
      </c>
      <c r="C101" t="s">
        <v>364</v>
      </c>
      <c r="D101" t="s">
        <v>26</v>
      </c>
      <c r="E101" t="s">
        <v>22</v>
      </c>
      <c r="F101" t="s">
        <v>43</v>
      </c>
      <c r="G101" t="s">
        <v>757</v>
      </c>
      <c r="H101" t="s">
        <v>757</v>
      </c>
      <c r="I101" t="s">
        <v>644</v>
      </c>
      <c r="J101" t="s">
        <v>32</v>
      </c>
      <c r="L101">
        <v>339</v>
      </c>
      <c r="M101" t="s">
        <v>297</v>
      </c>
      <c r="N101" t="s">
        <v>758</v>
      </c>
      <c r="O101" t="s">
        <v>27</v>
      </c>
      <c r="P101" t="s">
        <v>343</v>
      </c>
      <c r="Q101" t="s">
        <v>331</v>
      </c>
      <c r="R101">
        <v>161</v>
      </c>
      <c r="S101" t="str">
        <f>VLOOKUP(R101,Epics!A:B,2,FALSE)</f>
        <v>Soporte</v>
      </c>
    </row>
    <row r="102" spans="1:19" x14ac:dyDescent="0.25">
      <c r="A102">
        <v>230</v>
      </c>
      <c r="B102" t="s">
        <v>19</v>
      </c>
      <c r="C102" t="s">
        <v>365</v>
      </c>
      <c r="D102" t="s">
        <v>26</v>
      </c>
      <c r="E102" t="s">
        <v>22</v>
      </c>
      <c r="F102" t="s">
        <v>43</v>
      </c>
      <c r="G102" t="s">
        <v>633</v>
      </c>
      <c r="H102" t="s">
        <v>759</v>
      </c>
      <c r="I102" t="s">
        <v>608</v>
      </c>
      <c r="J102" t="s">
        <v>32</v>
      </c>
      <c r="L102">
        <v>340</v>
      </c>
      <c r="M102" t="s">
        <v>297</v>
      </c>
      <c r="N102" t="s">
        <v>760</v>
      </c>
      <c r="O102" t="s">
        <v>27</v>
      </c>
      <c r="P102" t="s">
        <v>294</v>
      </c>
      <c r="Q102" t="s">
        <v>295</v>
      </c>
      <c r="R102">
        <v>161</v>
      </c>
      <c r="S102" t="str">
        <f>VLOOKUP(R102,Epics!A:B,2,FALSE)</f>
        <v>Soporte</v>
      </c>
    </row>
    <row r="103" spans="1:19" x14ac:dyDescent="0.25">
      <c r="A103">
        <v>231</v>
      </c>
      <c r="B103" t="s">
        <v>19</v>
      </c>
      <c r="C103" t="s">
        <v>366</v>
      </c>
      <c r="D103" t="s">
        <v>26</v>
      </c>
      <c r="E103" t="s">
        <v>22</v>
      </c>
      <c r="G103" t="s">
        <v>761</v>
      </c>
      <c r="H103" t="s">
        <v>762</v>
      </c>
      <c r="I103" t="s">
        <v>762</v>
      </c>
      <c r="J103" t="s">
        <v>105</v>
      </c>
      <c r="L103">
        <v>341</v>
      </c>
      <c r="M103" t="s">
        <v>327</v>
      </c>
      <c r="N103" t="s">
        <v>763</v>
      </c>
      <c r="O103" t="s">
        <v>27</v>
      </c>
      <c r="P103" t="s">
        <v>367</v>
      </c>
      <c r="Q103" t="s">
        <v>295</v>
      </c>
      <c r="R103">
        <v>161</v>
      </c>
      <c r="S103" t="str">
        <f>VLOOKUP(R103,Epics!A:B,2,FALSE)</f>
        <v>Soporte</v>
      </c>
    </row>
    <row r="104" spans="1:19" x14ac:dyDescent="0.25">
      <c r="A104">
        <v>242</v>
      </c>
      <c r="B104" t="s">
        <v>19</v>
      </c>
      <c r="C104" t="s">
        <v>368</v>
      </c>
      <c r="D104" t="s">
        <v>26</v>
      </c>
      <c r="E104" t="s">
        <v>22</v>
      </c>
      <c r="G104" t="s">
        <v>762</v>
      </c>
      <c r="H104" t="s">
        <v>762</v>
      </c>
      <c r="I104" t="s">
        <v>762</v>
      </c>
      <c r="J104" t="s">
        <v>32</v>
      </c>
      <c r="L104">
        <v>349</v>
      </c>
      <c r="M104" t="s">
        <v>297</v>
      </c>
      <c r="N104" t="s">
        <v>764</v>
      </c>
      <c r="O104" t="s">
        <v>27</v>
      </c>
      <c r="P104" t="s">
        <v>333</v>
      </c>
      <c r="Q104" t="s">
        <v>295</v>
      </c>
      <c r="R104">
        <v>161</v>
      </c>
      <c r="S104" t="str">
        <f>VLOOKUP(R104,Epics!A:B,2,FALSE)</f>
        <v>Soporte</v>
      </c>
    </row>
    <row r="105" spans="1:19" x14ac:dyDescent="0.25">
      <c r="A105">
        <v>243</v>
      </c>
      <c r="B105" t="s">
        <v>19</v>
      </c>
      <c r="C105" t="s">
        <v>369</v>
      </c>
      <c r="D105" t="s">
        <v>26</v>
      </c>
      <c r="E105" t="s">
        <v>22</v>
      </c>
      <c r="F105" t="s">
        <v>46</v>
      </c>
      <c r="G105" t="s">
        <v>762</v>
      </c>
      <c r="H105" t="s">
        <v>762</v>
      </c>
      <c r="I105" t="s">
        <v>561</v>
      </c>
      <c r="J105" t="s">
        <v>32</v>
      </c>
      <c r="L105">
        <v>350</v>
      </c>
      <c r="M105" t="s">
        <v>297</v>
      </c>
      <c r="N105" t="s">
        <v>765</v>
      </c>
      <c r="O105" t="s">
        <v>27</v>
      </c>
      <c r="P105" t="s">
        <v>303</v>
      </c>
      <c r="Q105" t="s">
        <v>304</v>
      </c>
      <c r="R105">
        <v>161</v>
      </c>
      <c r="S105" t="str">
        <f>VLOOKUP(R105,Epics!A:B,2,FALSE)</f>
        <v>Soporte</v>
      </c>
    </row>
    <row r="106" spans="1:19" x14ac:dyDescent="0.25">
      <c r="A106">
        <v>244</v>
      </c>
      <c r="B106" t="s">
        <v>19</v>
      </c>
      <c r="C106" t="s">
        <v>370</v>
      </c>
      <c r="D106" t="s">
        <v>26</v>
      </c>
      <c r="E106" t="s">
        <v>22</v>
      </c>
      <c r="F106" t="s">
        <v>46</v>
      </c>
      <c r="G106" t="s">
        <v>766</v>
      </c>
      <c r="H106" t="s">
        <v>766</v>
      </c>
      <c r="I106" t="s">
        <v>561</v>
      </c>
      <c r="J106" t="s">
        <v>32</v>
      </c>
      <c r="L106">
        <v>352</v>
      </c>
      <c r="M106" t="s">
        <v>297</v>
      </c>
      <c r="N106" t="s">
        <v>767</v>
      </c>
      <c r="O106" t="s">
        <v>27</v>
      </c>
      <c r="P106" t="s">
        <v>303</v>
      </c>
      <c r="Q106" t="s">
        <v>304</v>
      </c>
      <c r="R106">
        <v>161</v>
      </c>
      <c r="S106" t="str">
        <f>VLOOKUP(R106,Epics!A:B,2,FALSE)</f>
        <v>Soporte</v>
      </c>
    </row>
    <row r="107" spans="1:19" x14ac:dyDescent="0.25">
      <c r="A107">
        <v>247</v>
      </c>
      <c r="B107" t="s">
        <v>19</v>
      </c>
      <c r="C107" t="s">
        <v>371</v>
      </c>
      <c r="D107" t="s">
        <v>26</v>
      </c>
      <c r="E107" t="s">
        <v>22</v>
      </c>
      <c r="G107" t="s">
        <v>561</v>
      </c>
      <c r="H107" t="s">
        <v>561</v>
      </c>
      <c r="I107" t="s">
        <v>561</v>
      </c>
      <c r="J107" t="s">
        <v>32</v>
      </c>
      <c r="L107">
        <v>354</v>
      </c>
      <c r="M107" t="s">
        <v>327</v>
      </c>
      <c r="N107" t="s">
        <v>768</v>
      </c>
      <c r="O107" t="s">
        <v>27</v>
      </c>
      <c r="P107" t="s">
        <v>333</v>
      </c>
      <c r="Q107" t="s">
        <v>295</v>
      </c>
      <c r="R107">
        <v>161</v>
      </c>
      <c r="S107" t="str">
        <f>VLOOKUP(R107,Epics!A:B,2,FALSE)</f>
        <v>Soporte</v>
      </c>
    </row>
    <row r="108" spans="1:19" x14ac:dyDescent="0.25">
      <c r="A108">
        <v>208</v>
      </c>
      <c r="B108" t="s">
        <v>19</v>
      </c>
      <c r="C108" t="s">
        <v>372</v>
      </c>
      <c r="D108" t="s">
        <v>35</v>
      </c>
      <c r="E108" t="s">
        <v>22</v>
      </c>
      <c r="F108" t="s">
        <v>69</v>
      </c>
      <c r="G108" t="s">
        <v>585</v>
      </c>
      <c r="H108" t="s">
        <v>585</v>
      </c>
      <c r="I108" t="s">
        <v>615</v>
      </c>
      <c r="J108" t="s">
        <v>32</v>
      </c>
      <c r="K108">
        <v>100721</v>
      </c>
      <c r="L108">
        <v>325</v>
      </c>
      <c r="M108" t="s">
        <v>297</v>
      </c>
      <c r="N108" t="s">
        <v>769</v>
      </c>
      <c r="O108" t="s">
        <v>27</v>
      </c>
      <c r="P108" t="s">
        <v>303</v>
      </c>
      <c r="Q108" t="s">
        <v>304</v>
      </c>
      <c r="R108">
        <v>161</v>
      </c>
      <c r="S108" t="str">
        <f>VLOOKUP(R108,Epics!A:B,2,FALSE)</f>
        <v>Soporte</v>
      </c>
    </row>
    <row r="109" spans="1:19" x14ac:dyDescent="0.25">
      <c r="A109">
        <v>211</v>
      </c>
      <c r="B109" t="s">
        <v>19</v>
      </c>
      <c r="C109" t="s">
        <v>373</v>
      </c>
      <c r="D109" t="s">
        <v>35</v>
      </c>
      <c r="E109" t="s">
        <v>22</v>
      </c>
      <c r="F109" t="s">
        <v>61</v>
      </c>
      <c r="G109" t="s">
        <v>582</v>
      </c>
      <c r="H109" t="s">
        <v>582</v>
      </c>
      <c r="I109" t="s">
        <v>557</v>
      </c>
      <c r="J109" t="s">
        <v>79</v>
      </c>
      <c r="L109">
        <v>326</v>
      </c>
      <c r="M109" t="s">
        <v>297</v>
      </c>
      <c r="N109" t="s">
        <v>770</v>
      </c>
      <c r="O109" t="s">
        <v>27</v>
      </c>
      <c r="P109" t="s">
        <v>333</v>
      </c>
      <c r="Q109" t="s">
        <v>304</v>
      </c>
      <c r="R109">
        <v>161</v>
      </c>
      <c r="S109" t="str">
        <f>VLOOKUP(R109,Epics!A:B,2,FALSE)</f>
        <v>Soporte</v>
      </c>
    </row>
    <row r="110" spans="1:19" x14ac:dyDescent="0.25">
      <c r="A110">
        <v>212</v>
      </c>
      <c r="B110" t="s">
        <v>19</v>
      </c>
      <c r="C110" t="s">
        <v>374</v>
      </c>
      <c r="D110" t="s">
        <v>35</v>
      </c>
      <c r="E110" t="s">
        <v>22</v>
      </c>
      <c r="F110" t="s">
        <v>61</v>
      </c>
      <c r="G110" t="s">
        <v>582</v>
      </c>
      <c r="H110" t="s">
        <v>771</v>
      </c>
      <c r="I110" t="s">
        <v>772</v>
      </c>
      <c r="J110" t="s">
        <v>182</v>
      </c>
      <c r="K110">
        <v>102692</v>
      </c>
      <c r="L110">
        <v>327</v>
      </c>
      <c r="M110" t="s">
        <v>297</v>
      </c>
      <c r="N110" t="s">
        <v>773</v>
      </c>
      <c r="O110" t="s">
        <v>27</v>
      </c>
      <c r="P110" t="s">
        <v>303</v>
      </c>
      <c r="Q110" t="s">
        <v>304</v>
      </c>
      <c r="R110">
        <v>161</v>
      </c>
      <c r="S110" t="str">
        <f>VLOOKUP(R110,Epics!A:B,2,FALSE)</f>
        <v>Soporte</v>
      </c>
    </row>
    <row r="111" spans="1:19" x14ac:dyDescent="0.25">
      <c r="A111">
        <v>214</v>
      </c>
      <c r="B111" t="s">
        <v>19</v>
      </c>
      <c r="C111" t="s">
        <v>375</v>
      </c>
      <c r="D111" t="s">
        <v>35</v>
      </c>
      <c r="E111" t="s">
        <v>22</v>
      </c>
      <c r="G111" t="s">
        <v>774</v>
      </c>
      <c r="H111" t="s">
        <v>615</v>
      </c>
      <c r="I111" t="s">
        <v>772</v>
      </c>
      <c r="J111" t="s">
        <v>32</v>
      </c>
      <c r="K111">
        <v>102692</v>
      </c>
      <c r="L111">
        <v>315</v>
      </c>
      <c r="M111" t="s">
        <v>297</v>
      </c>
      <c r="N111" t="s">
        <v>775</v>
      </c>
      <c r="O111" t="s">
        <v>21</v>
      </c>
      <c r="P111" t="s">
        <v>343</v>
      </c>
      <c r="Q111" t="s">
        <v>331</v>
      </c>
      <c r="R111">
        <v>161</v>
      </c>
      <c r="S111" t="str">
        <f>VLOOKUP(R111,Epics!A:B,2,FALSE)</f>
        <v>Soporte</v>
      </c>
    </row>
    <row r="112" spans="1:19" x14ac:dyDescent="0.25">
      <c r="A112">
        <v>215</v>
      </c>
      <c r="B112" t="s">
        <v>19</v>
      </c>
      <c r="C112" t="s">
        <v>376</v>
      </c>
      <c r="D112" t="s">
        <v>35</v>
      </c>
      <c r="E112" t="s">
        <v>22</v>
      </c>
      <c r="G112" t="s">
        <v>615</v>
      </c>
      <c r="H112" t="s">
        <v>615</v>
      </c>
      <c r="I112" t="s">
        <v>772</v>
      </c>
      <c r="J112" t="s">
        <v>32</v>
      </c>
      <c r="K112">
        <v>328</v>
      </c>
      <c r="M112" t="s">
        <v>327</v>
      </c>
      <c r="N112" t="s">
        <v>776</v>
      </c>
      <c r="O112" t="s">
        <v>27</v>
      </c>
      <c r="P112" t="s">
        <v>343</v>
      </c>
      <c r="Q112" t="s">
        <v>331</v>
      </c>
      <c r="R112">
        <v>161</v>
      </c>
      <c r="S112" t="str">
        <f>VLOOKUP(R112,Epics!A:B,2,FALSE)</f>
        <v>Soporte</v>
      </c>
    </row>
    <row r="113" spans="1:19" x14ac:dyDescent="0.25">
      <c r="A113">
        <v>340</v>
      </c>
      <c r="B113" t="s">
        <v>19</v>
      </c>
      <c r="C113" t="s">
        <v>377</v>
      </c>
      <c r="D113" t="s">
        <v>531</v>
      </c>
      <c r="E113" t="s">
        <v>27</v>
      </c>
      <c r="G113" t="s">
        <v>777</v>
      </c>
      <c r="J113" t="s">
        <v>32</v>
      </c>
      <c r="L113">
        <v>384</v>
      </c>
      <c r="M113" t="s">
        <v>297</v>
      </c>
      <c r="O113" t="s">
        <v>27</v>
      </c>
      <c r="P113" t="s">
        <v>303</v>
      </c>
      <c r="Q113" t="s">
        <v>295</v>
      </c>
      <c r="R113">
        <v>161</v>
      </c>
      <c r="S113" t="str">
        <f>VLOOKUP(R113,Epics!A:B,2,FALSE)</f>
        <v>Soporte</v>
      </c>
    </row>
    <row r="114" spans="1:19" x14ac:dyDescent="0.25">
      <c r="A114">
        <v>377</v>
      </c>
      <c r="B114" t="s">
        <v>19</v>
      </c>
      <c r="C114" t="s">
        <v>285</v>
      </c>
      <c r="D114" t="s">
        <v>531</v>
      </c>
      <c r="E114" t="s">
        <v>27</v>
      </c>
      <c r="G114" t="s">
        <v>778</v>
      </c>
      <c r="H114" t="s">
        <v>778</v>
      </c>
      <c r="J114" t="s">
        <v>32</v>
      </c>
      <c r="L114">
        <v>402</v>
      </c>
      <c r="M114" t="s">
        <v>297</v>
      </c>
      <c r="N114" t="s">
        <v>779</v>
      </c>
      <c r="O114" t="s">
        <v>27</v>
      </c>
      <c r="P114" t="s">
        <v>343</v>
      </c>
      <c r="Q114" t="s">
        <v>331</v>
      </c>
      <c r="R114">
        <v>161</v>
      </c>
      <c r="S114" t="str">
        <f>VLOOKUP(R114,Epics!A:B,2,FALSE)</f>
        <v>Soporte</v>
      </c>
    </row>
    <row r="115" spans="1:19" x14ac:dyDescent="0.25">
      <c r="A115">
        <v>450</v>
      </c>
      <c r="B115" t="s">
        <v>19</v>
      </c>
      <c r="C115" t="s">
        <v>467</v>
      </c>
      <c r="D115" t="s">
        <v>531</v>
      </c>
      <c r="E115" t="s">
        <v>22</v>
      </c>
      <c r="F115" t="s">
        <v>473</v>
      </c>
      <c r="G115" t="s">
        <v>780</v>
      </c>
      <c r="H115" t="s">
        <v>781</v>
      </c>
      <c r="J115" t="s">
        <v>32</v>
      </c>
      <c r="L115">
        <v>442</v>
      </c>
      <c r="M115" t="s">
        <v>327</v>
      </c>
      <c r="N115" t="s">
        <v>782</v>
      </c>
      <c r="O115" t="s">
        <v>27</v>
      </c>
      <c r="P115" t="s">
        <v>303</v>
      </c>
      <c r="Q115" t="s">
        <v>331</v>
      </c>
      <c r="R115">
        <v>161</v>
      </c>
      <c r="S115" t="str">
        <f>VLOOKUP(R115,Epics!A:B,2,FALSE)</f>
        <v>Soporte</v>
      </c>
    </row>
    <row r="116" spans="1:19" x14ac:dyDescent="0.25">
      <c r="A116">
        <v>518</v>
      </c>
      <c r="B116" t="s">
        <v>19</v>
      </c>
      <c r="C116" t="s">
        <v>521</v>
      </c>
      <c r="D116" t="s">
        <v>531</v>
      </c>
      <c r="E116" t="s">
        <v>206</v>
      </c>
      <c r="F116" t="s">
        <v>783</v>
      </c>
      <c r="G116" t="s">
        <v>784</v>
      </c>
      <c r="H116" t="s">
        <v>785</v>
      </c>
      <c r="J116" t="s">
        <v>32</v>
      </c>
      <c r="L116">
        <v>476</v>
      </c>
      <c r="O116" t="s">
        <v>27</v>
      </c>
      <c r="P116" t="s">
        <v>303</v>
      </c>
      <c r="Q116" t="s">
        <v>295</v>
      </c>
      <c r="R116">
        <v>161</v>
      </c>
      <c r="S116" t="str">
        <f>VLOOKUP(R116,Epics!A:B,2,FALSE)</f>
        <v>Soporte</v>
      </c>
    </row>
    <row r="117" spans="1:19" x14ac:dyDescent="0.25">
      <c r="A117">
        <v>520</v>
      </c>
      <c r="B117" t="s">
        <v>19</v>
      </c>
      <c r="C117" t="s">
        <v>522</v>
      </c>
      <c r="D117" t="s">
        <v>531</v>
      </c>
      <c r="E117" t="s">
        <v>206</v>
      </c>
      <c r="F117" t="s">
        <v>786</v>
      </c>
      <c r="G117" t="s">
        <v>787</v>
      </c>
      <c r="H117" t="s">
        <v>788</v>
      </c>
      <c r="J117" t="s">
        <v>32</v>
      </c>
      <c r="L117">
        <v>478</v>
      </c>
      <c r="M117" t="s">
        <v>297</v>
      </c>
      <c r="O117" t="s">
        <v>27</v>
      </c>
      <c r="P117" t="s">
        <v>303</v>
      </c>
      <c r="Q117" t="s">
        <v>295</v>
      </c>
      <c r="R117">
        <v>161</v>
      </c>
      <c r="S117" t="str">
        <f>VLOOKUP(R117,Epics!A:B,2,FALSE)</f>
        <v>Soporte</v>
      </c>
    </row>
    <row r="118" spans="1:19" x14ac:dyDescent="0.25">
      <c r="A118">
        <v>522</v>
      </c>
      <c r="B118" t="s">
        <v>19</v>
      </c>
      <c r="C118" t="s">
        <v>789</v>
      </c>
      <c r="D118" t="s">
        <v>531</v>
      </c>
      <c r="E118" t="s">
        <v>206</v>
      </c>
      <c r="F118" t="s">
        <v>790</v>
      </c>
      <c r="G118" t="s">
        <v>791</v>
      </c>
      <c r="H118" t="s">
        <v>792</v>
      </c>
      <c r="J118" t="s">
        <v>32</v>
      </c>
      <c r="K118" t="s">
        <v>793</v>
      </c>
      <c r="L118">
        <v>482</v>
      </c>
      <c r="M118" t="s">
        <v>297</v>
      </c>
      <c r="N118" t="s">
        <v>794</v>
      </c>
      <c r="O118" t="s">
        <v>27</v>
      </c>
      <c r="P118" t="s">
        <v>343</v>
      </c>
      <c r="Q118" t="s">
        <v>295</v>
      </c>
      <c r="R118">
        <v>161</v>
      </c>
      <c r="S118" t="str">
        <f>VLOOKUP(R118,Epics!A:B,2,FALSE)</f>
        <v>Soporte</v>
      </c>
    </row>
    <row r="119" spans="1:19" x14ac:dyDescent="0.25">
      <c r="A119">
        <v>524</v>
      </c>
      <c r="B119" t="s">
        <v>19</v>
      </c>
      <c r="C119" t="s">
        <v>795</v>
      </c>
      <c r="D119" t="s">
        <v>531</v>
      </c>
      <c r="E119" t="s">
        <v>206</v>
      </c>
      <c r="F119" t="s">
        <v>790</v>
      </c>
      <c r="G119" t="s">
        <v>796</v>
      </c>
      <c r="J119" t="s">
        <v>201</v>
      </c>
      <c r="L119">
        <v>483</v>
      </c>
      <c r="N119" t="s">
        <v>797</v>
      </c>
      <c r="O119" t="s">
        <v>27</v>
      </c>
      <c r="P119" t="s">
        <v>367</v>
      </c>
      <c r="Q119" t="s">
        <v>295</v>
      </c>
      <c r="R119">
        <v>161</v>
      </c>
      <c r="S119" t="str">
        <f>VLOOKUP(R119,Epics!A:B,2,FALSE)</f>
        <v>Soporte</v>
      </c>
    </row>
    <row r="120" spans="1:19" x14ac:dyDescent="0.25">
      <c r="A120">
        <v>525</v>
      </c>
      <c r="B120" t="s">
        <v>19</v>
      </c>
      <c r="C120" t="s">
        <v>798</v>
      </c>
      <c r="D120" t="s">
        <v>531</v>
      </c>
      <c r="E120" t="s">
        <v>22</v>
      </c>
      <c r="G120" t="s">
        <v>799</v>
      </c>
      <c r="H120" t="s">
        <v>799</v>
      </c>
      <c r="I120" t="s">
        <v>800</v>
      </c>
      <c r="J120" t="s">
        <v>32</v>
      </c>
      <c r="K120" t="s">
        <v>793</v>
      </c>
      <c r="L120">
        <v>484</v>
      </c>
      <c r="M120" t="s">
        <v>297</v>
      </c>
      <c r="O120" t="s">
        <v>27</v>
      </c>
      <c r="P120" t="s">
        <v>338</v>
      </c>
      <c r="Q120" t="s">
        <v>295</v>
      </c>
      <c r="R120">
        <v>161</v>
      </c>
      <c r="S120" t="str">
        <f>VLOOKUP(R120,Epics!A:B,2,FALSE)</f>
        <v>Soporte</v>
      </c>
    </row>
    <row r="121" spans="1:19" x14ac:dyDescent="0.25">
      <c r="A121">
        <v>526</v>
      </c>
      <c r="B121" t="s">
        <v>19</v>
      </c>
      <c r="C121" t="s">
        <v>801</v>
      </c>
      <c r="D121" t="s">
        <v>531</v>
      </c>
      <c r="E121" t="s">
        <v>206</v>
      </c>
      <c r="F121" t="s">
        <v>802</v>
      </c>
      <c r="G121" t="s">
        <v>803</v>
      </c>
      <c r="H121" t="s">
        <v>803</v>
      </c>
      <c r="J121" t="s">
        <v>78</v>
      </c>
      <c r="L121">
        <v>485</v>
      </c>
      <c r="M121" t="s">
        <v>327</v>
      </c>
      <c r="N121" t="s">
        <v>804</v>
      </c>
      <c r="O121" t="s">
        <v>27</v>
      </c>
      <c r="P121" t="s">
        <v>303</v>
      </c>
      <c r="Q121" t="s">
        <v>304</v>
      </c>
      <c r="R121">
        <v>161</v>
      </c>
      <c r="S121" t="str">
        <f>VLOOKUP(R121,Epics!A:B,2,FALSE)</f>
        <v>Soporte</v>
      </c>
    </row>
    <row r="122" spans="1:19" x14ac:dyDescent="0.25">
      <c r="A122">
        <v>527</v>
      </c>
      <c r="B122" t="s">
        <v>19</v>
      </c>
      <c r="C122" t="s">
        <v>805</v>
      </c>
      <c r="D122" t="s">
        <v>531</v>
      </c>
      <c r="E122" t="s">
        <v>22</v>
      </c>
      <c r="G122" t="s">
        <v>806</v>
      </c>
      <c r="H122" t="s">
        <v>806</v>
      </c>
      <c r="I122" t="s">
        <v>806</v>
      </c>
      <c r="J122" t="s">
        <v>105</v>
      </c>
      <c r="L122">
        <v>486</v>
      </c>
      <c r="M122" t="s">
        <v>327</v>
      </c>
      <c r="N122" t="s">
        <v>807</v>
      </c>
      <c r="O122" t="s">
        <v>27</v>
      </c>
      <c r="P122" t="s">
        <v>333</v>
      </c>
      <c r="Q122" t="s">
        <v>295</v>
      </c>
      <c r="R122">
        <v>161</v>
      </c>
      <c r="S122" t="str">
        <f>VLOOKUP(R122,Epics!A:B,2,FALSE)</f>
        <v>Soporte</v>
      </c>
    </row>
    <row r="123" spans="1:19" x14ac:dyDescent="0.25">
      <c r="A123">
        <v>528</v>
      </c>
      <c r="B123" t="s">
        <v>19</v>
      </c>
      <c r="C123" t="s">
        <v>808</v>
      </c>
      <c r="D123" t="s">
        <v>531</v>
      </c>
      <c r="L123">
        <v>478</v>
      </c>
      <c r="M123" t="s">
        <v>297</v>
      </c>
      <c r="O123" t="s">
        <v>27</v>
      </c>
      <c r="R123">
        <v>161</v>
      </c>
      <c r="S123" t="str">
        <f>VLOOKUP(R123,Epics!A:B,2,FALSE)</f>
        <v>Soporte</v>
      </c>
    </row>
    <row r="124" spans="1:19" x14ac:dyDescent="0.25">
      <c r="A124">
        <v>362</v>
      </c>
      <c r="B124" t="s">
        <v>19</v>
      </c>
      <c r="C124" t="s">
        <v>379</v>
      </c>
      <c r="D124" t="s">
        <v>293</v>
      </c>
      <c r="E124" t="s">
        <v>22</v>
      </c>
      <c r="G124" t="s">
        <v>663</v>
      </c>
      <c r="H124" t="s">
        <v>663</v>
      </c>
      <c r="I124" t="s">
        <v>663</v>
      </c>
      <c r="J124" t="s">
        <v>32</v>
      </c>
      <c r="L124">
        <v>397</v>
      </c>
      <c r="M124" t="s">
        <v>297</v>
      </c>
      <c r="N124" t="s">
        <v>809</v>
      </c>
      <c r="O124" t="s">
        <v>27</v>
      </c>
      <c r="P124" t="s">
        <v>343</v>
      </c>
      <c r="Q124" t="s">
        <v>331</v>
      </c>
      <c r="R124">
        <v>161</v>
      </c>
      <c r="S124" t="str">
        <f>VLOOKUP(R124,Epics!A:B,2,FALSE)</f>
        <v>Soporte</v>
      </c>
    </row>
    <row r="125" spans="1:19" x14ac:dyDescent="0.25">
      <c r="A125">
        <v>234</v>
      </c>
      <c r="B125" t="s">
        <v>19</v>
      </c>
      <c r="C125" t="s">
        <v>384</v>
      </c>
      <c r="D125" t="s">
        <v>17</v>
      </c>
      <c r="E125" t="s">
        <v>22</v>
      </c>
      <c r="G125" t="s">
        <v>810</v>
      </c>
      <c r="H125" t="s">
        <v>811</v>
      </c>
      <c r="I125" t="s">
        <v>812</v>
      </c>
      <c r="J125" t="s">
        <v>32</v>
      </c>
      <c r="K125">
        <v>109586</v>
      </c>
      <c r="L125">
        <v>344</v>
      </c>
      <c r="M125" t="s">
        <v>297</v>
      </c>
      <c r="N125" t="s">
        <v>813</v>
      </c>
      <c r="O125" t="s">
        <v>21</v>
      </c>
      <c r="P125" t="s">
        <v>343</v>
      </c>
      <c r="Q125" t="s">
        <v>331</v>
      </c>
      <c r="R125">
        <v>161</v>
      </c>
      <c r="S125" t="str">
        <f>VLOOKUP(R125,Epics!A:B,2,FALSE)</f>
        <v>Soporte</v>
      </c>
    </row>
    <row r="126" spans="1:19" x14ac:dyDescent="0.25">
      <c r="A126">
        <v>255</v>
      </c>
      <c r="B126" t="s">
        <v>19</v>
      </c>
      <c r="C126" t="s">
        <v>385</v>
      </c>
      <c r="D126" t="s">
        <v>17</v>
      </c>
      <c r="E126" t="s">
        <v>22</v>
      </c>
      <c r="G126" t="s">
        <v>814</v>
      </c>
      <c r="H126" t="s">
        <v>811</v>
      </c>
      <c r="I126" t="s">
        <v>811</v>
      </c>
      <c r="J126" t="s">
        <v>32</v>
      </c>
      <c r="L126">
        <v>358</v>
      </c>
      <c r="M126" t="s">
        <v>297</v>
      </c>
      <c r="N126" t="s">
        <v>815</v>
      </c>
      <c r="O126" t="s">
        <v>27</v>
      </c>
      <c r="P126" t="s">
        <v>323</v>
      </c>
      <c r="Q126" t="s">
        <v>295</v>
      </c>
      <c r="R126">
        <v>161</v>
      </c>
      <c r="S126" t="str">
        <f>VLOOKUP(R126,Epics!A:B,2,FALSE)</f>
        <v>Soporte</v>
      </c>
    </row>
    <row r="127" spans="1:19" x14ac:dyDescent="0.25">
      <c r="A127">
        <v>268</v>
      </c>
      <c r="B127" t="s">
        <v>19</v>
      </c>
      <c r="C127" t="s">
        <v>386</v>
      </c>
      <c r="D127" t="s">
        <v>17</v>
      </c>
      <c r="E127" t="s">
        <v>22</v>
      </c>
      <c r="G127" t="s">
        <v>816</v>
      </c>
      <c r="H127" t="s">
        <v>816</v>
      </c>
      <c r="I127" t="s">
        <v>816</v>
      </c>
      <c r="J127" t="s">
        <v>32</v>
      </c>
      <c r="L127">
        <v>361</v>
      </c>
      <c r="M127" t="s">
        <v>297</v>
      </c>
      <c r="N127" t="s">
        <v>817</v>
      </c>
      <c r="O127" t="s">
        <v>27</v>
      </c>
      <c r="P127" t="s">
        <v>333</v>
      </c>
      <c r="Q127" t="s">
        <v>295</v>
      </c>
      <c r="R127">
        <v>161</v>
      </c>
      <c r="S127" t="str">
        <f>VLOOKUP(R127,Epics!A:B,2,FALSE)</f>
        <v>Soporte</v>
      </c>
    </row>
    <row r="128" spans="1:19" x14ac:dyDescent="0.25">
      <c r="A128">
        <v>426</v>
      </c>
      <c r="B128" t="s">
        <v>19</v>
      </c>
      <c r="C128" t="s">
        <v>383</v>
      </c>
      <c r="D128" t="s">
        <v>454</v>
      </c>
      <c r="E128" t="s">
        <v>22</v>
      </c>
      <c r="G128" t="s">
        <v>818</v>
      </c>
      <c r="H128" t="s">
        <v>819</v>
      </c>
      <c r="I128" t="s">
        <v>820</v>
      </c>
      <c r="J128" t="s">
        <v>32</v>
      </c>
      <c r="K128">
        <v>135966</v>
      </c>
      <c r="L128">
        <v>430</v>
      </c>
      <c r="M128" t="s">
        <v>297</v>
      </c>
      <c r="N128" t="s">
        <v>821</v>
      </c>
      <c r="O128" t="s">
        <v>27</v>
      </c>
      <c r="P128" t="s">
        <v>294</v>
      </c>
      <c r="Q128" t="s">
        <v>295</v>
      </c>
      <c r="R128">
        <v>161</v>
      </c>
      <c r="S128" t="str">
        <f>VLOOKUP(R128,Epics!A:B,2,FALSE)</f>
        <v>Soporte</v>
      </c>
    </row>
    <row r="129" spans="1:19" x14ac:dyDescent="0.25">
      <c r="A129">
        <v>433</v>
      </c>
      <c r="B129" t="s">
        <v>19</v>
      </c>
      <c r="C129" t="s">
        <v>460</v>
      </c>
      <c r="D129" t="s">
        <v>454</v>
      </c>
      <c r="E129" t="s">
        <v>22</v>
      </c>
      <c r="G129" t="s">
        <v>822</v>
      </c>
      <c r="H129" t="s">
        <v>823</v>
      </c>
      <c r="I129" t="s">
        <v>537</v>
      </c>
      <c r="J129" t="s">
        <v>452</v>
      </c>
      <c r="K129">
        <v>135966</v>
      </c>
      <c r="L129">
        <v>432</v>
      </c>
      <c r="M129" t="s">
        <v>297</v>
      </c>
      <c r="O129" t="s">
        <v>27</v>
      </c>
      <c r="P129" t="s">
        <v>333</v>
      </c>
      <c r="R129">
        <v>161</v>
      </c>
      <c r="S129" t="str">
        <f>VLOOKUP(R129,Epics!A:B,2,FALSE)</f>
        <v>Soporte</v>
      </c>
    </row>
    <row r="130" spans="1:19" x14ac:dyDescent="0.25">
      <c r="A130">
        <v>437</v>
      </c>
      <c r="B130" t="s">
        <v>19</v>
      </c>
      <c r="C130" t="s">
        <v>461</v>
      </c>
      <c r="D130" t="s">
        <v>454</v>
      </c>
      <c r="E130" t="s">
        <v>22</v>
      </c>
      <c r="G130" t="s">
        <v>824</v>
      </c>
      <c r="H130" t="s">
        <v>825</v>
      </c>
      <c r="I130" t="s">
        <v>826</v>
      </c>
      <c r="J130" t="s">
        <v>78</v>
      </c>
      <c r="L130">
        <v>435</v>
      </c>
      <c r="M130" t="s">
        <v>327</v>
      </c>
      <c r="N130" t="s">
        <v>827</v>
      </c>
      <c r="O130" t="s">
        <v>27</v>
      </c>
      <c r="P130" t="s">
        <v>303</v>
      </c>
      <c r="Q130" t="s">
        <v>295</v>
      </c>
      <c r="R130">
        <v>161</v>
      </c>
      <c r="S130" t="str">
        <f>VLOOKUP(R130,Epics!A:B,2,FALSE)</f>
        <v>Soporte</v>
      </c>
    </row>
    <row r="131" spans="1:19" x14ac:dyDescent="0.25">
      <c r="A131">
        <v>440</v>
      </c>
      <c r="B131" t="s">
        <v>19</v>
      </c>
      <c r="C131" t="s">
        <v>462</v>
      </c>
      <c r="D131" t="s">
        <v>454</v>
      </c>
      <c r="E131" t="s">
        <v>206</v>
      </c>
      <c r="G131" t="s">
        <v>828</v>
      </c>
      <c r="H131" t="s">
        <v>829</v>
      </c>
      <c r="I131" t="s">
        <v>577</v>
      </c>
      <c r="J131" t="s">
        <v>463</v>
      </c>
      <c r="L131">
        <v>436</v>
      </c>
      <c r="M131" t="s">
        <v>327</v>
      </c>
      <c r="N131" t="s">
        <v>830</v>
      </c>
      <c r="O131" t="s">
        <v>27</v>
      </c>
      <c r="P131" t="s">
        <v>294</v>
      </c>
      <c r="Q131" t="s">
        <v>295</v>
      </c>
      <c r="R131">
        <v>161</v>
      </c>
      <c r="S131" t="str">
        <f>VLOOKUP(R131,Epics!A:B,2,FALSE)</f>
        <v>Soporte</v>
      </c>
    </row>
    <row r="132" spans="1:19" x14ac:dyDescent="0.25">
      <c r="A132">
        <v>443</v>
      </c>
      <c r="B132" t="s">
        <v>19</v>
      </c>
      <c r="C132" t="s">
        <v>464</v>
      </c>
      <c r="D132" t="s">
        <v>454</v>
      </c>
      <c r="E132" t="s">
        <v>22</v>
      </c>
      <c r="G132" t="s">
        <v>831</v>
      </c>
      <c r="H132" t="s">
        <v>831</v>
      </c>
      <c r="I132" t="s">
        <v>579</v>
      </c>
      <c r="J132" t="s">
        <v>62</v>
      </c>
      <c r="L132">
        <v>439</v>
      </c>
      <c r="M132" t="s">
        <v>297</v>
      </c>
      <c r="O132" t="s">
        <v>27</v>
      </c>
      <c r="P132" t="s">
        <v>343</v>
      </c>
      <c r="Q132" t="s">
        <v>331</v>
      </c>
      <c r="R132">
        <v>161</v>
      </c>
      <c r="S132" t="str">
        <f>VLOOKUP(R132,Epics!A:B,2,FALSE)</f>
        <v>Soporte</v>
      </c>
    </row>
    <row r="133" spans="1:19" x14ac:dyDescent="0.25">
      <c r="A133">
        <v>446</v>
      </c>
      <c r="B133" t="s">
        <v>19</v>
      </c>
      <c r="C133" t="s">
        <v>466</v>
      </c>
      <c r="D133" t="s">
        <v>459</v>
      </c>
      <c r="E133" t="s">
        <v>22</v>
      </c>
      <c r="F133" t="s">
        <v>473</v>
      </c>
      <c r="G133" t="s">
        <v>832</v>
      </c>
      <c r="H133" t="s">
        <v>833</v>
      </c>
      <c r="J133" t="s">
        <v>32</v>
      </c>
      <c r="L133">
        <v>441</v>
      </c>
      <c r="M133" t="s">
        <v>297</v>
      </c>
      <c r="O133" t="s">
        <v>27</v>
      </c>
      <c r="P133" t="s">
        <v>343</v>
      </c>
      <c r="Q133" t="s">
        <v>331</v>
      </c>
      <c r="R133">
        <v>161</v>
      </c>
      <c r="S133" t="str">
        <f>VLOOKUP(R133,Epics!A:B,2,FALSE)</f>
        <v>Soporte</v>
      </c>
    </row>
    <row r="134" spans="1:19" x14ac:dyDescent="0.25">
      <c r="A134">
        <v>456</v>
      </c>
      <c r="B134" t="s">
        <v>19</v>
      </c>
      <c r="C134" t="s">
        <v>469</v>
      </c>
      <c r="D134" t="s">
        <v>459</v>
      </c>
      <c r="E134" t="s">
        <v>22</v>
      </c>
      <c r="F134" t="s">
        <v>473</v>
      </c>
      <c r="G134" t="s">
        <v>834</v>
      </c>
      <c r="H134" t="s">
        <v>834</v>
      </c>
      <c r="I134" t="s">
        <v>835</v>
      </c>
      <c r="J134" t="s">
        <v>78</v>
      </c>
      <c r="L134">
        <v>443</v>
      </c>
      <c r="M134" t="s">
        <v>297</v>
      </c>
      <c r="N134" t="s">
        <v>836</v>
      </c>
      <c r="O134" t="s">
        <v>27</v>
      </c>
      <c r="P134" t="s">
        <v>303</v>
      </c>
      <c r="Q134" t="s">
        <v>295</v>
      </c>
      <c r="R134">
        <v>161</v>
      </c>
      <c r="S134" t="str">
        <f>VLOOKUP(R134,Epics!A:B,2,FALSE)</f>
        <v>Soporte</v>
      </c>
    </row>
    <row r="135" spans="1:19" x14ac:dyDescent="0.25">
      <c r="A135">
        <v>254</v>
      </c>
      <c r="B135" t="s">
        <v>19</v>
      </c>
      <c r="C135" t="s">
        <v>387</v>
      </c>
      <c r="D135" t="s">
        <v>167</v>
      </c>
      <c r="E135" t="s">
        <v>22</v>
      </c>
      <c r="G135" t="s">
        <v>814</v>
      </c>
      <c r="H135" t="s">
        <v>814</v>
      </c>
      <c r="I135" t="s">
        <v>812</v>
      </c>
      <c r="J135" t="s">
        <v>28</v>
      </c>
      <c r="K135">
        <v>109586</v>
      </c>
      <c r="L135">
        <v>357</v>
      </c>
      <c r="M135" t="s">
        <v>297</v>
      </c>
      <c r="N135" t="s">
        <v>837</v>
      </c>
      <c r="O135" t="s">
        <v>21</v>
      </c>
      <c r="P135" t="s">
        <v>303</v>
      </c>
      <c r="Q135" t="s">
        <v>304</v>
      </c>
      <c r="R135">
        <v>161</v>
      </c>
      <c r="S135" t="str">
        <f>VLOOKUP(R135,Epics!A:B,2,FALSE)</f>
        <v>Soporte</v>
      </c>
    </row>
    <row r="136" spans="1:19" x14ac:dyDescent="0.25">
      <c r="A136">
        <v>256</v>
      </c>
      <c r="B136" t="s">
        <v>19</v>
      </c>
      <c r="C136" t="s">
        <v>388</v>
      </c>
      <c r="D136" t="s">
        <v>167</v>
      </c>
      <c r="E136" t="s">
        <v>22</v>
      </c>
      <c r="G136" t="s">
        <v>812</v>
      </c>
      <c r="H136" t="s">
        <v>838</v>
      </c>
      <c r="I136" t="s">
        <v>603</v>
      </c>
      <c r="J136" t="s">
        <v>32</v>
      </c>
      <c r="K136">
        <v>112573</v>
      </c>
      <c r="L136">
        <v>359</v>
      </c>
      <c r="M136" t="s">
        <v>297</v>
      </c>
      <c r="N136" t="s">
        <v>839</v>
      </c>
      <c r="O136" t="s">
        <v>27</v>
      </c>
      <c r="P136" t="s">
        <v>343</v>
      </c>
      <c r="Q136" t="s">
        <v>331</v>
      </c>
      <c r="R136">
        <v>161</v>
      </c>
      <c r="S136" t="str">
        <f>VLOOKUP(R136,Epics!A:B,2,FALSE)</f>
        <v>Soporte</v>
      </c>
    </row>
    <row r="137" spans="1:19" x14ac:dyDescent="0.25">
      <c r="A137">
        <v>257</v>
      </c>
      <c r="B137" t="s">
        <v>19</v>
      </c>
      <c r="C137" t="s">
        <v>389</v>
      </c>
      <c r="D137" t="s">
        <v>167</v>
      </c>
      <c r="E137" t="s">
        <v>22</v>
      </c>
      <c r="G137" t="s">
        <v>838</v>
      </c>
      <c r="H137" t="s">
        <v>838</v>
      </c>
      <c r="I137" t="s">
        <v>840</v>
      </c>
      <c r="J137" t="s">
        <v>32</v>
      </c>
      <c r="K137">
        <v>114413</v>
      </c>
      <c r="L137">
        <v>360</v>
      </c>
      <c r="M137" t="s">
        <v>297</v>
      </c>
      <c r="N137" t="s">
        <v>841</v>
      </c>
      <c r="O137" t="s">
        <v>27</v>
      </c>
      <c r="P137" t="s">
        <v>343</v>
      </c>
      <c r="Q137" t="s">
        <v>331</v>
      </c>
      <c r="R137">
        <v>161</v>
      </c>
      <c r="S137" t="str">
        <f>VLOOKUP(R137,Epics!A:B,2,FALSE)</f>
        <v>Soporte</v>
      </c>
    </row>
    <row r="138" spans="1:19" x14ac:dyDescent="0.25">
      <c r="A138">
        <v>276</v>
      </c>
      <c r="B138" t="s">
        <v>19</v>
      </c>
      <c r="C138" t="s">
        <v>390</v>
      </c>
      <c r="D138" t="s">
        <v>167</v>
      </c>
      <c r="E138" t="s">
        <v>22</v>
      </c>
      <c r="G138" t="s">
        <v>842</v>
      </c>
      <c r="H138" t="s">
        <v>842</v>
      </c>
      <c r="I138" t="s">
        <v>842</v>
      </c>
      <c r="J138" t="s">
        <v>32</v>
      </c>
      <c r="L138">
        <v>362</v>
      </c>
      <c r="M138" t="s">
        <v>297</v>
      </c>
      <c r="N138" t="s">
        <v>843</v>
      </c>
      <c r="O138" t="s">
        <v>27</v>
      </c>
      <c r="P138" t="s">
        <v>343</v>
      </c>
      <c r="Q138" t="s">
        <v>331</v>
      </c>
      <c r="R138">
        <v>161</v>
      </c>
      <c r="S138" t="str">
        <f>VLOOKUP(R138,Epics!A:B,2,FALSE)</f>
        <v>Soporte</v>
      </c>
    </row>
    <row r="139" spans="1:19" x14ac:dyDescent="0.25">
      <c r="A139">
        <v>281</v>
      </c>
      <c r="B139" t="s">
        <v>19</v>
      </c>
      <c r="C139" t="s">
        <v>391</v>
      </c>
      <c r="D139" t="s">
        <v>167</v>
      </c>
      <c r="E139" t="s">
        <v>22</v>
      </c>
      <c r="G139" t="s">
        <v>844</v>
      </c>
      <c r="H139" t="s">
        <v>844</v>
      </c>
      <c r="I139" t="s">
        <v>845</v>
      </c>
      <c r="J139" t="s">
        <v>182</v>
      </c>
      <c r="L139">
        <v>363</v>
      </c>
      <c r="M139" t="s">
        <v>297</v>
      </c>
      <c r="N139" t="s">
        <v>846</v>
      </c>
      <c r="O139" t="s">
        <v>27</v>
      </c>
      <c r="P139" t="s">
        <v>303</v>
      </c>
      <c r="Q139" t="s">
        <v>304</v>
      </c>
      <c r="R139">
        <v>161</v>
      </c>
      <c r="S139" t="str">
        <f>VLOOKUP(R139,Epics!A:B,2,FALSE)</f>
        <v>Soporte</v>
      </c>
    </row>
    <row r="140" spans="1:19" x14ac:dyDescent="0.25">
      <c r="A140">
        <v>284</v>
      </c>
      <c r="B140" t="s">
        <v>19</v>
      </c>
      <c r="C140" t="s">
        <v>392</v>
      </c>
      <c r="D140" t="s">
        <v>167</v>
      </c>
      <c r="E140" t="s">
        <v>22</v>
      </c>
      <c r="G140" t="s">
        <v>544</v>
      </c>
      <c r="H140" t="s">
        <v>544</v>
      </c>
      <c r="I140" t="s">
        <v>544</v>
      </c>
      <c r="J140" t="s">
        <v>32</v>
      </c>
      <c r="L140">
        <v>365</v>
      </c>
      <c r="M140" t="s">
        <v>297</v>
      </c>
      <c r="N140" t="s">
        <v>847</v>
      </c>
      <c r="O140" t="s">
        <v>27</v>
      </c>
      <c r="P140" t="s">
        <v>303</v>
      </c>
      <c r="Q140" t="s">
        <v>331</v>
      </c>
      <c r="R140">
        <v>161</v>
      </c>
      <c r="S140" t="str">
        <f>VLOOKUP(R140,Epics!A:B,2,FALSE)</f>
        <v>Soporte</v>
      </c>
    </row>
    <row r="141" spans="1:19" x14ac:dyDescent="0.25">
      <c r="A141">
        <v>292</v>
      </c>
      <c r="B141" t="s">
        <v>19</v>
      </c>
      <c r="C141" t="s">
        <v>393</v>
      </c>
      <c r="D141" t="s">
        <v>167</v>
      </c>
      <c r="E141" t="s">
        <v>22</v>
      </c>
      <c r="G141" t="s">
        <v>848</v>
      </c>
      <c r="H141" t="s">
        <v>848</v>
      </c>
      <c r="I141" t="s">
        <v>848</v>
      </c>
      <c r="J141" t="s">
        <v>32</v>
      </c>
      <c r="L141">
        <v>369</v>
      </c>
      <c r="M141" t="s">
        <v>297</v>
      </c>
      <c r="N141" t="s">
        <v>849</v>
      </c>
      <c r="O141" t="s">
        <v>27</v>
      </c>
      <c r="P141" t="s">
        <v>338</v>
      </c>
      <c r="Q141" t="s">
        <v>295</v>
      </c>
      <c r="R141">
        <v>161</v>
      </c>
      <c r="S141" t="str">
        <f>VLOOKUP(R141,Epics!A:B,2,FALSE)</f>
        <v>Soporte</v>
      </c>
    </row>
    <row r="142" spans="1:19" x14ac:dyDescent="0.25">
      <c r="A142">
        <v>162</v>
      </c>
      <c r="B142" t="s">
        <v>19</v>
      </c>
      <c r="C142" t="s">
        <v>394</v>
      </c>
      <c r="D142" t="s">
        <v>65</v>
      </c>
      <c r="E142" t="s">
        <v>22</v>
      </c>
      <c r="F142" t="s">
        <v>69</v>
      </c>
      <c r="G142" t="s">
        <v>611</v>
      </c>
      <c r="H142" t="s">
        <v>611</v>
      </c>
      <c r="I142" t="s">
        <v>850</v>
      </c>
      <c r="J142" t="s">
        <v>79</v>
      </c>
      <c r="L142">
        <v>292</v>
      </c>
      <c r="M142" t="s">
        <v>297</v>
      </c>
      <c r="N142" t="s">
        <v>851</v>
      </c>
      <c r="O142" t="s">
        <v>27</v>
      </c>
      <c r="P142" t="s">
        <v>303</v>
      </c>
      <c r="Q142" t="s">
        <v>304</v>
      </c>
      <c r="R142">
        <v>161</v>
      </c>
      <c r="S142" t="str">
        <f>VLOOKUP(R142,Epics!A:B,2,FALSE)</f>
        <v>Soporte</v>
      </c>
    </row>
    <row r="143" spans="1:19" x14ac:dyDescent="0.25">
      <c r="A143">
        <v>164</v>
      </c>
      <c r="B143" t="s">
        <v>19</v>
      </c>
      <c r="C143" t="s">
        <v>395</v>
      </c>
      <c r="D143" t="s">
        <v>65</v>
      </c>
      <c r="E143" t="s">
        <v>22</v>
      </c>
      <c r="F143" t="s">
        <v>69</v>
      </c>
      <c r="G143" t="s">
        <v>611</v>
      </c>
      <c r="H143" t="s">
        <v>852</v>
      </c>
      <c r="I143" t="s">
        <v>582</v>
      </c>
      <c r="J143" t="s">
        <v>79</v>
      </c>
      <c r="L143">
        <v>293</v>
      </c>
      <c r="M143" t="s">
        <v>297</v>
      </c>
      <c r="N143" t="s">
        <v>853</v>
      </c>
      <c r="O143" t="s">
        <v>27</v>
      </c>
      <c r="P143" t="s">
        <v>303</v>
      </c>
      <c r="Q143" t="s">
        <v>304</v>
      </c>
      <c r="R143">
        <v>161</v>
      </c>
      <c r="S143" t="str">
        <f>VLOOKUP(R143,Epics!A:B,2,FALSE)</f>
        <v>Soporte</v>
      </c>
    </row>
    <row r="144" spans="1:19" x14ac:dyDescent="0.25">
      <c r="A144">
        <v>165</v>
      </c>
      <c r="B144" t="s">
        <v>19</v>
      </c>
      <c r="C144" t="s">
        <v>396</v>
      </c>
      <c r="D144" t="s">
        <v>65</v>
      </c>
      <c r="E144" t="s">
        <v>22</v>
      </c>
      <c r="F144" t="s">
        <v>69</v>
      </c>
      <c r="G144" t="s">
        <v>611</v>
      </c>
      <c r="H144" t="s">
        <v>611</v>
      </c>
      <c r="I144" t="s">
        <v>582</v>
      </c>
      <c r="J144" t="s">
        <v>79</v>
      </c>
      <c r="L144">
        <v>294</v>
      </c>
      <c r="M144" t="s">
        <v>297</v>
      </c>
      <c r="N144" t="s">
        <v>854</v>
      </c>
      <c r="O144" t="s">
        <v>27</v>
      </c>
      <c r="P144" t="s">
        <v>303</v>
      </c>
      <c r="Q144" t="s">
        <v>331</v>
      </c>
      <c r="R144">
        <v>161</v>
      </c>
      <c r="S144" t="str">
        <f>VLOOKUP(R144,Epics!A:B,2,FALSE)</f>
        <v>Soporte</v>
      </c>
    </row>
    <row r="145" spans="1:19" x14ac:dyDescent="0.25">
      <c r="A145">
        <v>167</v>
      </c>
      <c r="B145" t="s">
        <v>19</v>
      </c>
      <c r="C145" t="s">
        <v>397</v>
      </c>
      <c r="D145" t="s">
        <v>65</v>
      </c>
      <c r="E145" t="s">
        <v>22</v>
      </c>
      <c r="F145" t="s">
        <v>69</v>
      </c>
      <c r="G145" t="s">
        <v>611</v>
      </c>
      <c r="H145" t="s">
        <v>580</v>
      </c>
      <c r="I145" t="s">
        <v>582</v>
      </c>
      <c r="J145" t="s">
        <v>79</v>
      </c>
      <c r="L145">
        <v>296</v>
      </c>
      <c r="M145" t="s">
        <v>327</v>
      </c>
      <c r="N145" t="s">
        <v>855</v>
      </c>
      <c r="O145" t="s">
        <v>27</v>
      </c>
      <c r="P145" t="s">
        <v>343</v>
      </c>
      <c r="Q145" t="s">
        <v>331</v>
      </c>
      <c r="R145">
        <v>161</v>
      </c>
      <c r="S145" t="str">
        <f>VLOOKUP(R145,Epics!A:B,2,FALSE)</f>
        <v>Soporte</v>
      </c>
    </row>
    <row r="146" spans="1:19" x14ac:dyDescent="0.25">
      <c r="A146">
        <v>168</v>
      </c>
      <c r="B146" t="s">
        <v>19</v>
      </c>
      <c r="C146" t="s">
        <v>398</v>
      </c>
      <c r="D146" t="s">
        <v>65</v>
      </c>
      <c r="E146" t="s">
        <v>22</v>
      </c>
      <c r="F146" t="s">
        <v>133</v>
      </c>
      <c r="G146" t="s">
        <v>611</v>
      </c>
      <c r="H146" t="s">
        <v>856</v>
      </c>
      <c r="I146" t="s">
        <v>857</v>
      </c>
      <c r="J146" t="s">
        <v>79</v>
      </c>
      <c r="K146">
        <v>96077</v>
      </c>
      <c r="L146">
        <v>297</v>
      </c>
      <c r="M146" t="s">
        <v>297</v>
      </c>
      <c r="N146" t="s">
        <v>858</v>
      </c>
      <c r="O146" t="s">
        <v>27</v>
      </c>
      <c r="P146" t="s">
        <v>343</v>
      </c>
      <c r="Q146" t="s">
        <v>331</v>
      </c>
      <c r="R146">
        <v>161</v>
      </c>
      <c r="S146" t="str">
        <f>VLOOKUP(R146,Epics!A:B,2,FALSE)</f>
        <v>Soporte</v>
      </c>
    </row>
    <row r="147" spans="1:19" x14ac:dyDescent="0.25">
      <c r="A147">
        <v>171</v>
      </c>
      <c r="B147" t="s">
        <v>19</v>
      </c>
      <c r="C147" t="s">
        <v>399</v>
      </c>
      <c r="D147" t="s">
        <v>65</v>
      </c>
      <c r="E147" t="s">
        <v>22</v>
      </c>
      <c r="F147" t="s">
        <v>133</v>
      </c>
      <c r="G147" t="s">
        <v>611</v>
      </c>
      <c r="H147" t="s">
        <v>580</v>
      </c>
      <c r="I147" t="s">
        <v>614</v>
      </c>
      <c r="J147" t="s">
        <v>79</v>
      </c>
      <c r="L147">
        <v>299</v>
      </c>
      <c r="M147" t="s">
        <v>297</v>
      </c>
      <c r="N147" t="s">
        <v>859</v>
      </c>
      <c r="O147" t="s">
        <v>27</v>
      </c>
      <c r="P147" t="s">
        <v>338</v>
      </c>
      <c r="Q147" t="s">
        <v>304</v>
      </c>
      <c r="R147">
        <v>161</v>
      </c>
      <c r="S147" t="str">
        <f>VLOOKUP(R147,Epics!A:B,2,FALSE)</f>
        <v>Soporte</v>
      </c>
    </row>
    <row r="148" spans="1:19" x14ac:dyDescent="0.25">
      <c r="A148">
        <v>173</v>
      </c>
      <c r="B148" t="s">
        <v>19</v>
      </c>
      <c r="C148" t="s">
        <v>400</v>
      </c>
      <c r="D148" t="s">
        <v>65</v>
      </c>
      <c r="E148" t="s">
        <v>22</v>
      </c>
      <c r="G148" t="s">
        <v>611</v>
      </c>
      <c r="H148" t="s">
        <v>580</v>
      </c>
      <c r="I148" t="s">
        <v>582</v>
      </c>
      <c r="J148" t="s">
        <v>79</v>
      </c>
      <c r="L148">
        <v>300</v>
      </c>
      <c r="M148" t="s">
        <v>327</v>
      </c>
      <c r="N148" t="s">
        <v>860</v>
      </c>
      <c r="O148" t="s">
        <v>27</v>
      </c>
      <c r="P148" t="s">
        <v>343</v>
      </c>
      <c r="Q148" t="s">
        <v>331</v>
      </c>
      <c r="R148">
        <v>161</v>
      </c>
      <c r="S148" t="str">
        <f>VLOOKUP(R148,Epics!A:B,2,FALSE)</f>
        <v>Soporte</v>
      </c>
    </row>
    <row r="149" spans="1:19" x14ac:dyDescent="0.25">
      <c r="A149">
        <v>174</v>
      </c>
      <c r="B149" t="s">
        <v>19</v>
      </c>
      <c r="C149" t="s">
        <v>401</v>
      </c>
      <c r="D149" t="s">
        <v>65</v>
      </c>
      <c r="E149" t="s">
        <v>22</v>
      </c>
      <c r="F149" t="s">
        <v>69</v>
      </c>
      <c r="G149" t="s">
        <v>611</v>
      </c>
      <c r="H149" t="s">
        <v>861</v>
      </c>
      <c r="I149" t="s">
        <v>582</v>
      </c>
      <c r="J149" t="s">
        <v>79</v>
      </c>
      <c r="L149">
        <v>301</v>
      </c>
      <c r="M149" t="s">
        <v>297</v>
      </c>
      <c r="N149" t="s">
        <v>862</v>
      </c>
      <c r="O149" t="s">
        <v>27</v>
      </c>
      <c r="P149" t="s">
        <v>343</v>
      </c>
      <c r="Q149" t="s">
        <v>331</v>
      </c>
      <c r="R149">
        <v>161</v>
      </c>
      <c r="S149" t="str">
        <f>VLOOKUP(R149,Epics!A:B,2,FALSE)</f>
        <v>Soporte</v>
      </c>
    </row>
    <row r="150" spans="1:19" x14ac:dyDescent="0.25">
      <c r="A150">
        <v>195</v>
      </c>
      <c r="B150" t="s">
        <v>19</v>
      </c>
      <c r="C150" t="s">
        <v>402</v>
      </c>
      <c r="D150" t="s">
        <v>65</v>
      </c>
      <c r="E150" t="s">
        <v>22</v>
      </c>
      <c r="F150" t="s">
        <v>69</v>
      </c>
      <c r="G150" t="s">
        <v>863</v>
      </c>
      <c r="H150" t="s">
        <v>856</v>
      </c>
      <c r="I150" t="s">
        <v>582</v>
      </c>
      <c r="J150" t="s">
        <v>79</v>
      </c>
      <c r="L150">
        <v>316</v>
      </c>
      <c r="M150" t="s">
        <v>297</v>
      </c>
      <c r="N150" t="s">
        <v>864</v>
      </c>
      <c r="O150" t="s">
        <v>27</v>
      </c>
      <c r="P150" t="s">
        <v>303</v>
      </c>
      <c r="Q150" t="s">
        <v>304</v>
      </c>
      <c r="R150">
        <v>161</v>
      </c>
      <c r="S150" t="str">
        <f>VLOOKUP(R150,Epics!A:B,2,FALSE)</f>
        <v>Soporte</v>
      </c>
    </row>
    <row r="151" spans="1:19" x14ac:dyDescent="0.25">
      <c r="A151">
        <v>196</v>
      </c>
      <c r="B151" t="s">
        <v>19</v>
      </c>
      <c r="C151" t="s">
        <v>403</v>
      </c>
      <c r="D151" t="s">
        <v>65</v>
      </c>
      <c r="E151" t="s">
        <v>22</v>
      </c>
      <c r="F151" t="s">
        <v>133</v>
      </c>
      <c r="G151" t="s">
        <v>861</v>
      </c>
      <c r="H151" t="s">
        <v>614</v>
      </c>
      <c r="I151" t="s">
        <v>614</v>
      </c>
      <c r="J151" t="s">
        <v>79</v>
      </c>
      <c r="K151">
        <v>98637</v>
      </c>
      <c r="L151">
        <v>317</v>
      </c>
      <c r="M151" t="s">
        <v>297</v>
      </c>
      <c r="N151" t="s">
        <v>865</v>
      </c>
      <c r="O151" t="s">
        <v>27</v>
      </c>
      <c r="P151" t="s">
        <v>303</v>
      </c>
      <c r="Q151" t="s">
        <v>304</v>
      </c>
      <c r="R151">
        <v>161</v>
      </c>
      <c r="S151" t="str">
        <f>VLOOKUP(R151,Epics!A:B,2,FALSE)</f>
        <v>Soporte</v>
      </c>
    </row>
    <row r="152" spans="1:19" x14ac:dyDescent="0.25">
      <c r="A152">
        <v>198</v>
      </c>
      <c r="B152" t="s">
        <v>19</v>
      </c>
      <c r="C152" t="s">
        <v>404</v>
      </c>
      <c r="D152" t="s">
        <v>65</v>
      </c>
      <c r="E152" t="s">
        <v>22</v>
      </c>
      <c r="F152" t="s">
        <v>69</v>
      </c>
      <c r="G152" t="s">
        <v>611</v>
      </c>
      <c r="H152" t="s">
        <v>611</v>
      </c>
      <c r="I152" t="s">
        <v>866</v>
      </c>
      <c r="J152" t="s">
        <v>79</v>
      </c>
      <c r="K152">
        <v>100230</v>
      </c>
      <c r="L152">
        <v>296</v>
      </c>
      <c r="M152" t="s">
        <v>297</v>
      </c>
      <c r="N152" t="s">
        <v>867</v>
      </c>
      <c r="O152" t="s">
        <v>27</v>
      </c>
      <c r="P152" t="s">
        <v>294</v>
      </c>
      <c r="Q152" t="s">
        <v>295</v>
      </c>
      <c r="R152">
        <v>161</v>
      </c>
      <c r="S152" t="str">
        <f>VLOOKUP(R152,Epics!A:B,2,FALSE)</f>
        <v>Soporte</v>
      </c>
    </row>
    <row r="153" spans="1:19" x14ac:dyDescent="0.25">
      <c r="A153">
        <v>199</v>
      </c>
      <c r="B153" t="s">
        <v>19</v>
      </c>
      <c r="C153" t="s">
        <v>405</v>
      </c>
      <c r="D153" t="s">
        <v>65</v>
      </c>
      <c r="E153" t="s">
        <v>22</v>
      </c>
      <c r="F153" t="s">
        <v>227</v>
      </c>
      <c r="G153" t="s">
        <v>868</v>
      </c>
      <c r="H153" t="s">
        <v>868</v>
      </c>
      <c r="I153" t="s">
        <v>582</v>
      </c>
      <c r="J153" t="s">
        <v>79</v>
      </c>
      <c r="L153">
        <v>318</v>
      </c>
      <c r="M153" t="s">
        <v>327</v>
      </c>
      <c r="N153" t="s">
        <v>869</v>
      </c>
      <c r="O153" t="s">
        <v>27</v>
      </c>
      <c r="P153" t="s">
        <v>333</v>
      </c>
      <c r="Q153" t="s">
        <v>295</v>
      </c>
      <c r="R153">
        <v>161</v>
      </c>
      <c r="S153" t="str">
        <f>VLOOKUP(R153,Epics!A:B,2,FALSE)</f>
        <v>Soporte</v>
      </c>
    </row>
    <row r="154" spans="1:19" x14ac:dyDescent="0.25">
      <c r="A154">
        <v>201</v>
      </c>
      <c r="B154" t="s">
        <v>19</v>
      </c>
      <c r="C154" t="s">
        <v>406</v>
      </c>
      <c r="D154" t="s">
        <v>65</v>
      </c>
      <c r="E154" t="s">
        <v>22</v>
      </c>
      <c r="F154" t="s">
        <v>69</v>
      </c>
      <c r="G154" t="s">
        <v>870</v>
      </c>
      <c r="H154" t="s">
        <v>870</v>
      </c>
      <c r="I154" t="s">
        <v>870</v>
      </c>
      <c r="J154" t="s">
        <v>79</v>
      </c>
      <c r="L154">
        <v>320</v>
      </c>
      <c r="M154" t="s">
        <v>327</v>
      </c>
      <c r="N154" t="s">
        <v>871</v>
      </c>
      <c r="O154" t="s">
        <v>287</v>
      </c>
      <c r="P154" t="s">
        <v>303</v>
      </c>
      <c r="Q154" t="s">
        <v>331</v>
      </c>
      <c r="R154">
        <v>161</v>
      </c>
      <c r="S154" t="str">
        <f>VLOOKUP(R154,Epics!A:B,2,FALSE)</f>
        <v>Soporte</v>
      </c>
    </row>
    <row r="155" spans="1:19" x14ac:dyDescent="0.25">
      <c r="A155">
        <v>202</v>
      </c>
      <c r="B155" t="s">
        <v>19</v>
      </c>
      <c r="C155" t="s">
        <v>407</v>
      </c>
      <c r="D155" t="s">
        <v>65</v>
      </c>
      <c r="E155" t="s">
        <v>22</v>
      </c>
      <c r="F155" t="s">
        <v>69</v>
      </c>
      <c r="G155" t="s">
        <v>870</v>
      </c>
      <c r="H155" t="s">
        <v>870</v>
      </c>
      <c r="I155" t="s">
        <v>870</v>
      </c>
      <c r="J155" t="s">
        <v>79</v>
      </c>
      <c r="K155" t="s">
        <v>79</v>
      </c>
      <c r="L155">
        <v>320</v>
      </c>
      <c r="M155" t="s">
        <v>297</v>
      </c>
      <c r="N155" t="s">
        <v>872</v>
      </c>
      <c r="O155" t="s">
        <v>27</v>
      </c>
      <c r="P155" t="s">
        <v>303</v>
      </c>
      <c r="Q155" t="s">
        <v>304</v>
      </c>
      <c r="R155">
        <v>161</v>
      </c>
      <c r="S155" t="str">
        <f>VLOOKUP(R155,Epics!A:B,2,FALSE)</f>
        <v>Soporte</v>
      </c>
    </row>
    <row r="156" spans="1:19" x14ac:dyDescent="0.25">
      <c r="A156">
        <v>204</v>
      </c>
      <c r="B156" t="s">
        <v>19</v>
      </c>
      <c r="C156" t="s">
        <v>408</v>
      </c>
      <c r="D156" t="s">
        <v>65</v>
      </c>
      <c r="E156" t="s">
        <v>22</v>
      </c>
      <c r="F156" t="s">
        <v>227</v>
      </c>
      <c r="G156" t="s">
        <v>614</v>
      </c>
      <c r="H156" t="s">
        <v>614</v>
      </c>
      <c r="I156" t="s">
        <v>614</v>
      </c>
      <c r="J156" t="s">
        <v>79</v>
      </c>
      <c r="L156">
        <v>323</v>
      </c>
      <c r="M156" t="s">
        <v>297</v>
      </c>
      <c r="N156" t="s">
        <v>873</v>
      </c>
      <c r="O156" t="s">
        <v>27</v>
      </c>
      <c r="P156" t="s">
        <v>303</v>
      </c>
      <c r="Q156" t="s">
        <v>304</v>
      </c>
      <c r="R156">
        <v>161</v>
      </c>
      <c r="S156" t="str">
        <f>VLOOKUP(R156,Epics!A:B,2,FALSE)</f>
        <v>Soporte</v>
      </c>
    </row>
    <row r="157" spans="1:19" x14ac:dyDescent="0.25">
      <c r="A157">
        <v>205</v>
      </c>
      <c r="B157" t="s">
        <v>19</v>
      </c>
      <c r="C157" t="s">
        <v>409</v>
      </c>
      <c r="D157" t="s">
        <v>65</v>
      </c>
      <c r="E157" t="s">
        <v>22</v>
      </c>
      <c r="G157" t="s">
        <v>850</v>
      </c>
      <c r="H157" t="s">
        <v>850</v>
      </c>
      <c r="I157" t="s">
        <v>874</v>
      </c>
      <c r="J157" t="s">
        <v>32</v>
      </c>
      <c r="L157">
        <v>323</v>
      </c>
      <c r="M157" t="s">
        <v>297</v>
      </c>
      <c r="N157" t="s">
        <v>875</v>
      </c>
      <c r="O157" t="s">
        <v>27</v>
      </c>
      <c r="P157" t="s">
        <v>333</v>
      </c>
      <c r="Q157" t="s">
        <v>331</v>
      </c>
      <c r="R157">
        <v>161</v>
      </c>
      <c r="S157" t="str">
        <f>VLOOKUP(R157,Epics!A:B,2,FALSE)</f>
        <v>Soporte</v>
      </c>
    </row>
    <row r="158" spans="1:19" x14ac:dyDescent="0.25">
      <c r="A158">
        <v>206</v>
      </c>
      <c r="B158" t="s">
        <v>19</v>
      </c>
      <c r="C158" t="s">
        <v>410</v>
      </c>
      <c r="D158" t="s">
        <v>65</v>
      </c>
      <c r="E158" t="s">
        <v>22</v>
      </c>
      <c r="F158" t="s">
        <v>227</v>
      </c>
      <c r="G158" t="s">
        <v>876</v>
      </c>
      <c r="H158" t="s">
        <v>876</v>
      </c>
      <c r="I158" t="s">
        <v>876</v>
      </c>
      <c r="J158" t="s">
        <v>32</v>
      </c>
      <c r="L158">
        <v>323</v>
      </c>
      <c r="M158" t="s">
        <v>297</v>
      </c>
      <c r="N158" t="s">
        <v>877</v>
      </c>
      <c r="O158" t="s">
        <v>27</v>
      </c>
      <c r="P158" t="s">
        <v>333</v>
      </c>
      <c r="Q158" t="s">
        <v>295</v>
      </c>
      <c r="R158">
        <v>161</v>
      </c>
      <c r="S158" t="str">
        <f>VLOOKUP(R158,Epics!A:B,2,FALSE)</f>
        <v>Soporte</v>
      </c>
    </row>
    <row r="159" spans="1:19" x14ac:dyDescent="0.25">
      <c r="A159">
        <v>209</v>
      </c>
      <c r="B159" t="s">
        <v>19</v>
      </c>
      <c r="C159" t="s">
        <v>411</v>
      </c>
      <c r="D159" t="s">
        <v>65</v>
      </c>
      <c r="E159" t="s">
        <v>22</v>
      </c>
      <c r="G159" t="s">
        <v>866</v>
      </c>
      <c r="H159" t="s">
        <v>612</v>
      </c>
      <c r="I159" t="s">
        <v>612</v>
      </c>
      <c r="J159" t="s">
        <v>32</v>
      </c>
      <c r="L159">
        <v>326</v>
      </c>
      <c r="M159" t="s">
        <v>297</v>
      </c>
      <c r="N159" t="s">
        <v>878</v>
      </c>
      <c r="O159" t="s">
        <v>27</v>
      </c>
      <c r="P159" t="s">
        <v>343</v>
      </c>
      <c r="Q159" t="s">
        <v>331</v>
      </c>
      <c r="R159">
        <v>161</v>
      </c>
      <c r="S159" t="str">
        <f>VLOOKUP(R159,Epics!A:B,2,FALSE)</f>
        <v>Soporte</v>
      </c>
    </row>
    <row r="160" spans="1:19" x14ac:dyDescent="0.25">
      <c r="A160">
        <v>519</v>
      </c>
      <c r="B160" t="s">
        <v>19</v>
      </c>
      <c r="C160" t="s">
        <v>523</v>
      </c>
      <c r="D160" t="s">
        <v>879</v>
      </c>
      <c r="E160" t="s">
        <v>22</v>
      </c>
      <c r="G160" t="s">
        <v>880</v>
      </c>
      <c r="H160" t="s">
        <v>880</v>
      </c>
      <c r="I160" t="s">
        <v>881</v>
      </c>
      <c r="J160" t="s">
        <v>32</v>
      </c>
      <c r="L160">
        <v>477</v>
      </c>
      <c r="M160" t="s">
        <v>297</v>
      </c>
      <c r="O160" t="s">
        <v>21</v>
      </c>
      <c r="P160" t="s">
        <v>333</v>
      </c>
      <c r="Q160" t="s">
        <v>295</v>
      </c>
      <c r="R160">
        <v>161</v>
      </c>
      <c r="S160" t="str">
        <f>VLOOKUP(R160,Epics!A:B,2,FALSE)</f>
        <v>Soporte</v>
      </c>
    </row>
    <row r="161" spans="1:19" x14ac:dyDescent="0.25">
      <c r="A161">
        <v>521</v>
      </c>
      <c r="B161" t="s">
        <v>19</v>
      </c>
      <c r="C161" t="s">
        <v>882</v>
      </c>
      <c r="D161" t="s">
        <v>879</v>
      </c>
      <c r="E161" t="s">
        <v>22</v>
      </c>
      <c r="G161" t="s">
        <v>883</v>
      </c>
      <c r="H161" t="s">
        <v>883</v>
      </c>
      <c r="I161" t="s">
        <v>884</v>
      </c>
      <c r="J161" t="s">
        <v>32</v>
      </c>
      <c r="K161">
        <v>168258</v>
      </c>
      <c r="L161">
        <v>479</v>
      </c>
      <c r="M161" t="s">
        <v>297</v>
      </c>
      <c r="O161" t="s">
        <v>27</v>
      </c>
      <c r="P161" t="s">
        <v>333</v>
      </c>
      <c r="Q161" t="s">
        <v>331</v>
      </c>
      <c r="R161">
        <v>161</v>
      </c>
      <c r="S161" t="str">
        <f>VLOOKUP(R161,Epics!A:B,2,FALSE)</f>
        <v>Soporte</v>
      </c>
    </row>
    <row r="162" spans="1:19" x14ac:dyDescent="0.25">
      <c r="A162">
        <v>380</v>
      </c>
      <c r="B162" t="s">
        <v>19</v>
      </c>
      <c r="C162" t="s">
        <v>286</v>
      </c>
      <c r="D162" t="s">
        <v>279</v>
      </c>
      <c r="E162" t="s">
        <v>22</v>
      </c>
      <c r="F162" t="s">
        <v>280</v>
      </c>
      <c r="G162" t="s">
        <v>885</v>
      </c>
      <c r="H162" t="s">
        <v>886</v>
      </c>
      <c r="I162" t="s">
        <v>887</v>
      </c>
      <c r="J162" t="s">
        <v>32</v>
      </c>
      <c r="L162">
        <v>404</v>
      </c>
      <c r="M162" t="s">
        <v>297</v>
      </c>
      <c r="N162" t="s">
        <v>888</v>
      </c>
      <c r="O162" t="s">
        <v>27</v>
      </c>
      <c r="P162" t="s">
        <v>294</v>
      </c>
      <c r="Q162" t="s">
        <v>295</v>
      </c>
      <c r="R162">
        <v>161</v>
      </c>
      <c r="S162" t="str">
        <f>VLOOKUP(R162,Epics!A:B,2,FALSE)</f>
        <v>Soporte</v>
      </c>
    </row>
    <row r="163" spans="1:19" x14ac:dyDescent="0.25">
      <c r="A163">
        <v>391</v>
      </c>
      <c r="B163" t="s">
        <v>19</v>
      </c>
      <c r="C163" t="s">
        <v>412</v>
      </c>
      <c r="D163" t="s">
        <v>279</v>
      </c>
      <c r="E163" t="s">
        <v>22</v>
      </c>
      <c r="F163" t="s">
        <v>280</v>
      </c>
      <c r="G163" t="s">
        <v>889</v>
      </c>
      <c r="H163" t="s">
        <v>889</v>
      </c>
      <c r="I163" t="s">
        <v>887</v>
      </c>
      <c r="J163" t="s">
        <v>32</v>
      </c>
      <c r="L163">
        <v>412</v>
      </c>
      <c r="M163" t="s">
        <v>297</v>
      </c>
      <c r="N163" t="s">
        <v>890</v>
      </c>
      <c r="O163" t="s">
        <v>27</v>
      </c>
      <c r="P163" t="s">
        <v>294</v>
      </c>
      <c r="Q163" t="s">
        <v>295</v>
      </c>
      <c r="R163">
        <v>161</v>
      </c>
      <c r="S163" t="str">
        <f>VLOOKUP(R163,Epics!A:B,2,FALSE)</f>
        <v>Soporte</v>
      </c>
    </row>
    <row r="164" spans="1:19" x14ac:dyDescent="0.25">
      <c r="A164">
        <v>392</v>
      </c>
      <c r="B164" t="s">
        <v>19</v>
      </c>
      <c r="C164" t="s">
        <v>413</v>
      </c>
      <c r="D164" t="s">
        <v>279</v>
      </c>
      <c r="E164" t="s">
        <v>22</v>
      </c>
      <c r="F164" t="s">
        <v>280</v>
      </c>
      <c r="G164" t="s">
        <v>889</v>
      </c>
      <c r="H164" t="s">
        <v>889</v>
      </c>
      <c r="I164" t="s">
        <v>887</v>
      </c>
      <c r="J164" t="s">
        <v>32</v>
      </c>
      <c r="L164">
        <v>412</v>
      </c>
      <c r="M164" t="s">
        <v>297</v>
      </c>
      <c r="N164" t="s">
        <v>890</v>
      </c>
      <c r="O164" t="s">
        <v>27</v>
      </c>
      <c r="P164" t="s">
        <v>294</v>
      </c>
      <c r="Q164" t="s">
        <v>295</v>
      </c>
      <c r="R164">
        <v>161</v>
      </c>
      <c r="S164" t="str">
        <f>VLOOKUP(R164,Epics!A:B,2,FALSE)</f>
        <v>Soporte</v>
      </c>
    </row>
    <row r="165" spans="1:19" x14ac:dyDescent="0.25">
      <c r="A165">
        <v>397</v>
      </c>
      <c r="B165" t="s">
        <v>19</v>
      </c>
      <c r="C165" t="s">
        <v>414</v>
      </c>
      <c r="D165" t="s">
        <v>279</v>
      </c>
      <c r="E165" t="s">
        <v>22</v>
      </c>
      <c r="F165" t="s">
        <v>280</v>
      </c>
      <c r="G165" t="s">
        <v>891</v>
      </c>
      <c r="H165" t="s">
        <v>891</v>
      </c>
      <c r="I165" t="s">
        <v>887</v>
      </c>
      <c r="J165" t="s">
        <v>32</v>
      </c>
      <c r="L165">
        <v>414</v>
      </c>
      <c r="M165" t="s">
        <v>297</v>
      </c>
      <c r="N165" t="s">
        <v>892</v>
      </c>
      <c r="O165" t="s">
        <v>21</v>
      </c>
      <c r="P165" t="s">
        <v>343</v>
      </c>
      <c r="Q165" t="s">
        <v>331</v>
      </c>
      <c r="R165">
        <v>161</v>
      </c>
      <c r="S165" t="str">
        <f>VLOOKUP(R165,Epics!A:B,2,FALSE)</f>
        <v>Soporte</v>
      </c>
    </row>
    <row r="166" spans="1:19" x14ac:dyDescent="0.25">
      <c r="A166">
        <v>398</v>
      </c>
      <c r="B166" t="s">
        <v>19</v>
      </c>
      <c r="C166" t="s">
        <v>415</v>
      </c>
      <c r="D166" t="s">
        <v>279</v>
      </c>
      <c r="E166" t="s">
        <v>22</v>
      </c>
      <c r="F166" t="s">
        <v>280</v>
      </c>
      <c r="G166" t="s">
        <v>750</v>
      </c>
      <c r="H166" t="s">
        <v>750</v>
      </c>
      <c r="I166" t="s">
        <v>887</v>
      </c>
      <c r="J166" t="s">
        <v>32</v>
      </c>
      <c r="L166">
        <v>415</v>
      </c>
      <c r="M166" t="s">
        <v>297</v>
      </c>
      <c r="N166" t="s">
        <v>893</v>
      </c>
      <c r="O166" t="s">
        <v>27</v>
      </c>
      <c r="P166" t="s">
        <v>303</v>
      </c>
      <c r="Q166" t="s">
        <v>304</v>
      </c>
      <c r="R166">
        <v>161</v>
      </c>
      <c r="S166" t="str">
        <f>VLOOKUP(R166,Epics!A:B,2,FALSE)</f>
        <v>Soporte</v>
      </c>
    </row>
    <row r="167" spans="1:19" x14ac:dyDescent="0.25">
      <c r="A167">
        <v>170</v>
      </c>
      <c r="B167" t="s">
        <v>19</v>
      </c>
      <c r="C167" t="s">
        <v>416</v>
      </c>
      <c r="D167" t="s">
        <v>122</v>
      </c>
      <c r="E167" t="s">
        <v>22</v>
      </c>
      <c r="F167" t="s">
        <v>133</v>
      </c>
      <c r="G167" t="s">
        <v>894</v>
      </c>
      <c r="H167" t="s">
        <v>895</v>
      </c>
      <c r="I167" t="s">
        <v>895</v>
      </c>
      <c r="J167" t="s">
        <v>79</v>
      </c>
      <c r="K167">
        <v>97296</v>
      </c>
      <c r="L167">
        <v>291</v>
      </c>
      <c r="M167" t="s">
        <v>297</v>
      </c>
      <c r="N167" t="s">
        <v>896</v>
      </c>
      <c r="O167" t="s">
        <v>27</v>
      </c>
      <c r="P167" t="s">
        <v>338</v>
      </c>
      <c r="Q167" t="s">
        <v>331</v>
      </c>
      <c r="R167">
        <v>161</v>
      </c>
      <c r="S167" t="str">
        <f>VLOOKUP(R167,Epics!A:B,2,FALSE)</f>
        <v>Soporte</v>
      </c>
    </row>
    <row r="168" spans="1:19" x14ac:dyDescent="0.25">
      <c r="A168">
        <v>172</v>
      </c>
      <c r="B168" t="s">
        <v>19</v>
      </c>
      <c r="C168" t="s">
        <v>417</v>
      </c>
      <c r="D168" t="s">
        <v>122</v>
      </c>
      <c r="E168" t="s">
        <v>22</v>
      </c>
      <c r="F168" t="s">
        <v>133</v>
      </c>
      <c r="G168" t="s">
        <v>611</v>
      </c>
      <c r="H168" t="s">
        <v>895</v>
      </c>
      <c r="I168" t="s">
        <v>897</v>
      </c>
      <c r="J168" t="s">
        <v>79</v>
      </c>
      <c r="K168" t="s">
        <v>242</v>
      </c>
      <c r="L168">
        <v>290</v>
      </c>
      <c r="M168" t="s">
        <v>297</v>
      </c>
      <c r="N168" t="s">
        <v>898</v>
      </c>
      <c r="O168" t="s">
        <v>27</v>
      </c>
      <c r="P168" t="s">
        <v>303</v>
      </c>
      <c r="Q168" t="s">
        <v>331</v>
      </c>
      <c r="R168">
        <v>161</v>
      </c>
      <c r="S168" t="str">
        <f>VLOOKUP(R168,Epics!A:B,2,FALSE)</f>
        <v>Soporte</v>
      </c>
    </row>
    <row r="169" spans="1:19" x14ac:dyDescent="0.25">
      <c r="A169">
        <v>504</v>
      </c>
      <c r="B169" t="s">
        <v>19</v>
      </c>
      <c r="C169" t="s">
        <v>510</v>
      </c>
      <c r="D169" t="s">
        <v>515</v>
      </c>
      <c r="E169" t="s">
        <v>22</v>
      </c>
      <c r="G169" t="s">
        <v>722</v>
      </c>
      <c r="H169" t="s">
        <v>592</v>
      </c>
      <c r="I169" t="s">
        <v>899</v>
      </c>
      <c r="J169" t="s">
        <v>32</v>
      </c>
      <c r="L169">
        <v>468</v>
      </c>
      <c r="M169" t="s">
        <v>297</v>
      </c>
      <c r="O169" t="s">
        <v>27</v>
      </c>
      <c r="P169" t="s">
        <v>333</v>
      </c>
      <c r="Q169" t="s">
        <v>295</v>
      </c>
      <c r="R169">
        <v>161</v>
      </c>
      <c r="S169" t="str">
        <f>VLOOKUP(R169,Epics!A:B,2,FALSE)</f>
        <v>Soporte</v>
      </c>
    </row>
    <row r="170" spans="1:19" x14ac:dyDescent="0.25">
      <c r="A170">
        <v>517</v>
      </c>
      <c r="B170" t="s">
        <v>19</v>
      </c>
      <c r="C170" t="s">
        <v>520</v>
      </c>
      <c r="D170" t="s">
        <v>515</v>
      </c>
      <c r="E170" t="s">
        <v>22</v>
      </c>
      <c r="G170" t="s">
        <v>900</v>
      </c>
      <c r="H170" t="s">
        <v>901</v>
      </c>
      <c r="I170" t="s">
        <v>902</v>
      </c>
      <c r="K170">
        <v>167446</v>
      </c>
      <c r="L170">
        <v>475</v>
      </c>
      <c r="M170" t="s">
        <v>297</v>
      </c>
      <c r="O170" t="s">
        <v>27</v>
      </c>
      <c r="P170" t="s">
        <v>303</v>
      </c>
      <c r="Q170" t="s">
        <v>331</v>
      </c>
      <c r="R170">
        <v>161</v>
      </c>
      <c r="S170" t="str">
        <f>VLOOKUP(R170,Epics!A:B,2,FALSE)</f>
        <v>Soporte</v>
      </c>
    </row>
    <row r="171" spans="1:19" x14ac:dyDescent="0.25">
      <c r="A171">
        <v>382</v>
      </c>
      <c r="B171" t="s">
        <v>19</v>
      </c>
      <c r="C171" t="s">
        <v>418</v>
      </c>
      <c r="D171" t="s">
        <v>74</v>
      </c>
      <c r="E171" t="s">
        <v>22</v>
      </c>
      <c r="G171" t="s">
        <v>903</v>
      </c>
      <c r="H171" t="s">
        <v>904</v>
      </c>
      <c r="I171" t="s">
        <v>736</v>
      </c>
      <c r="J171" t="s">
        <v>32</v>
      </c>
      <c r="L171">
        <v>406</v>
      </c>
      <c r="M171" t="s">
        <v>297</v>
      </c>
      <c r="N171" t="s">
        <v>905</v>
      </c>
      <c r="O171" t="s">
        <v>27</v>
      </c>
      <c r="P171" t="s">
        <v>343</v>
      </c>
      <c r="Q171" t="s">
        <v>331</v>
      </c>
      <c r="R171">
        <v>161</v>
      </c>
      <c r="S171" t="str">
        <f>VLOOKUP(R171,Epics!A:B,2,FALSE)</f>
        <v>Soporte</v>
      </c>
    </row>
    <row r="172" spans="1:19" x14ac:dyDescent="0.25">
      <c r="A172">
        <v>383</v>
      </c>
      <c r="B172" t="s">
        <v>19</v>
      </c>
      <c r="C172" t="s">
        <v>419</v>
      </c>
      <c r="D172" t="s">
        <v>74</v>
      </c>
      <c r="E172" t="s">
        <v>22</v>
      </c>
      <c r="G172" t="s">
        <v>904</v>
      </c>
      <c r="H172" t="s">
        <v>904</v>
      </c>
      <c r="I172" t="s">
        <v>906</v>
      </c>
      <c r="J172" t="s">
        <v>32</v>
      </c>
      <c r="K172">
        <v>129225</v>
      </c>
      <c r="L172">
        <v>407</v>
      </c>
      <c r="M172" t="s">
        <v>297</v>
      </c>
      <c r="N172" t="s">
        <v>907</v>
      </c>
      <c r="O172" t="s">
        <v>27</v>
      </c>
      <c r="P172" t="s">
        <v>303</v>
      </c>
      <c r="Q172" t="s">
        <v>331</v>
      </c>
      <c r="R172">
        <v>161</v>
      </c>
      <c r="S172" t="str">
        <f>VLOOKUP(R172,Epics!A:B,2,FALSE)</f>
        <v>Soporte</v>
      </c>
    </row>
    <row r="173" spans="1:19" x14ac:dyDescent="0.25">
      <c r="A173">
        <v>386</v>
      </c>
      <c r="B173" t="s">
        <v>19</v>
      </c>
      <c r="C173" t="s">
        <v>420</v>
      </c>
      <c r="D173" t="s">
        <v>74</v>
      </c>
      <c r="E173" t="s">
        <v>22</v>
      </c>
      <c r="G173" t="s">
        <v>736</v>
      </c>
      <c r="H173" t="s">
        <v>745</v>
      </c>
      <c r="I173" t="s">
        <v>601</v>
      </c>
      <c r="J173" t="s">
        <v>32</v>
      </c>
      <c r="L173">
        <v>409</v>
      </c>
      <c r="M173" t="s">
        <v>297</v>
      </c>
      <c r="N173" t="s">
        <v>768</v>
      </c>
      <c r="O173" t="s">
        <v>27</v>
      </c>
      <c r="P173" t="s">
        <v>303</v>
      </c>
      <c r="Q173" t="s">
        <v>331</v>
      </c>
      <c r="R173">
        <v>161</v>
      </c>
      <c r="S173" t="str">
        <f>VLOOKUP(R173,Epics!A:B,2,FALSE)</f>
        <v>Soporte</v>
      </c>
    </row>
    <row r="174" spans="1:19" x14ac:dyDescent="0.25">
      <c r="A174">
        <v>387</v>
      </c>
      <c r="B174" t="s">
        <v>19</v>
      </c>
      <c r="C174" t="s">
        <v>288</v>
      </c>
      <c r="D174" t="s">
        <v>74</v>
      </c>
      <c r="E174" t="s">
        <v>22</v>
      </c>
      <c r="G174" t="s">
        <v>904</v>
      </c>
      <c r="H174" t="s">
        <v>745</v>
      </c>
      <c r="I174" t="s">
        <v>906</v>
      </c>
      <c r="J174" t="s">
        <v>32</v>
      </c>
      <c r="L174">
        <v>411</v>
      </c>
      <c r="M174" t="s">
        <v>297</v>
      </c>
      <c r="O174" t="s">
        <v>27</v>
      </c>
      <c r="P174" t="s">
        <v>294</v>
      </c>
      <c r="Q174" t="s">
        <v>331</v>
      </c>
      <c r="R174">
        <v>161</v>
      </c>
      <c r="S174" t="str">
        <f>VLOOKUP(R174,Epics!A:B,2,FALSE)</f>
        <v>Soporte</v>
      </c>
    </row>
    <row r="175" spans="1:19" x14ac:dyDescent="0.25">
      <c r="A175">
        <v>399</v>
      </c>
      <c r="B175" t="s">
        <v>19</v>
      </c>
      <c r="C175" t="s">
        <v>421</v>
      </c>
      <c r="D175" t="s">
        <v>74</v>
      </c>
      <c r="E175" t="s">
        <v>22</v>
      </c>
      <c r="G175" t="s">
        <v>750</v>
      </c>
      <c r="H175" t="s">
        <v>750</v>
      </c>
      <c r="I175" t="s">
        <v>908</v>
      </c>
      <c r="J175" t="s">
        <v>32</v>
      </c>
      <c r="L175">
        <v>416</v>
      </c>
      <c r="M175" t="s">
        <v>297</v>
      </c>
      <c r="N175" t="s">
        <v>909</v>
      </c>
      <c r="O175" t="s">
        <v>27</v>
      </c>
      <c r="P175" t="s">
        <v>303</v>
      </c>
      <c r="Q175" t="s">
        <v>304</v>
      </c>
      <c r="R175">
        <v>161</v>
      </c>
      <c r="S175" t="str">
        <f>VLOOKUP(R175,Epics!A:B,2,FALSE)</f>
        <v>Soporte</v>
      </c>
    </row>
    <row r="176" spans="1:19" x14ac:dyDescent="0.25">
      <c r="A176">
        <v>402</v>
      </c>
      <c r="B176" t="s">
        <v>19</v>
      </c>
      <c r="C176" t="s">
        <v>422</v>
      </c>
      <c r="D176" t="s">
        <v>74</v>
      </c>
      <c r="E176" t="s">
        <v>22</v>
      </c>
      <c r="G176" t="s">
        <v>910</v>
      </c>
      <c r="H176" t="s">
        <v>906</v>
      </c>
      <c r="I176" t="s">
        <v>908</v>
      </c>
      <c r="J176" t="s">
        <v>32</v>
      </c>
      <c r="K176">
        <v>129857</v>
      </c>
      <c r="L176">
        <v>417</v>
      </c>
      <c r="M176" t="s">
        <v>297</v>
      </c>
      <c r="N176" t="s">
        <v>911</v>
      </c>
      <c r="O176" t="s">
        <v>27</v>
      </c>
      <c r="P176" t="s">
        <v>303</v>
      </c>
      <c r="Q176" t="s">
        <v>331</v>
      </c>
      <c r="R176">
        <v>161</v>
      </c>
      <c r="S176" t="str">
        <f>VLOOKUP(R176,Epics!A:B,2,FALSE)</f>
        <v>Soporte</v>
      </c>
    </row>
    <row r="177" spans="1:19" x14ac:dyDescent="0.25">
      <c r="A177">
        <v>403</v>
      </c>
      <c r="B177" t="s">
        <v>19</v>
      </c>
      <c r="C177" t="s">
        <v>423</v>
      </c>
      <c r="D177" t="s">
        <v>74</v>
      </c>
      <c r="E177" t="s">
        <v>22</v>
      </c>
      <c r="G177" t="s">
        <v>912</v>
      </c>
      <c r="H177" t="s">
        <v>912</v>
      </c>
      <c r="I177" t="s">
        <v>913</v>
      </c>
      <c r="J177" t="s">
        <v>32</v>
      </c>
      <c r="K177">
        <v>129908</v>
      </c>
      <c r="L177">
        <v>418</v>
      </c>
      <c r="M177" t="s">
        <v>297</v>
      </c>
      <c r="O177" t="s">
        <v>27</v>
      </c>
      <c r="P177" t="s">
        <v>343</v>
      </c>
      <c r="Q177" t="s">
        <v>331</v>
      </c>
      <c r="R177">
        <v>161</v>
      </c>
      <c r="S177" t="str">
        <f>VLOOKUP(R177,Epics!A:B,2,FALSE)</f>
        <v>Soporte</v>
      </c>
    </row>
    <row r="178" spans="1:19" x14ac:dyDescent="0.25">
      <c r="A178">
        <v>492</v>
      </c>
      <c r="B178" t="s">
        <v>19</v>
      </c>
      <c r="C178" t="s">
        <v>493</v>
      </c>
      <c r="D178" t="s">
        <v>503</v>
      </c>
      <c r="E178" t="s">
        <v>22</v>
      </c>
      <c r="F178" t="s">
        <v>512</v>
      </c>
      <c r="G178" t="s">
        <v>914</v>
      </c>
      <c r="H178" t="s">
        <v>915</v>
      </c>
      <c r="J178" t="s">
        <v>32</v>
      </c>
      <c r="L178">
        <v>460</v>
      </c>
      <c r="M178" t="s">
        <v>297</v>
      </c>
      <c r="N178" t="s">
        <v>916</v>
      </c>
      <c r="O178" t="s">
        <v>27</v>
      </c>
      <c r="P178" t="s">
        <v>303</v>
      </c>
      <c r="Q178" t="s">
        <v>304</v>
      </c>
      <c r="R178">
        <v>161</v>
      </c>
      <c r="S178" t="str">
        <f>VLOOKUP(R178,Epics!A:B,2,FALSE)</f>
        <v>Soporte</v>
      </c>
    </row>
    <row r="179" spans="1:19" x14ac:dyDescent="0.25">
      <c r="A179">
        <v>497</v>
      </c>
      <c r="B179" t="s">
        <v>19</v>
      </c>
      <c r="C179" t="s">
        <v>491</v>
      </c>
      <c r="D179" t="s">
        <v>503</v>
      </c>
      <c r="E179" t="s">
        <v>22</v>
      </c>
      <c r="F179" t="s">
        <v>512</v>
      </c>
      <c r="G179" t="s">
        <v>917</v>
      </c>
      <c r="H179" t="s">
        <v>777</v>
      </c>
      <c r="J179" t="s">
        <v>32</v>
      </c>
      <c r="L179">
        <v>462</v>
      </c>
      <c r="M179" t="s">
        <v>297</v>
      </c>
      <c r="N179" t="s">
        <v>918</v>
      </c>
      <c r="O179" t="s">
        <v>27</v>
      </c>
      <c r="P179" t="s">
        <v>303</v>
      </c>
      <c r="Q179" t="s">
        <v>295</v>
      </c>
      <c r="R179">
        <v>161</v>
      </c>
      <c r="S179" t="str">
        <f>VLOOKUP(R179,Epics!A:B,2,FALSE)</f>
        <v>Soporte</v>
      </c>
    </row>
    <row r="180" spans="1:19" x14ac:dyDescent="0.25">
      <c r="A180">
        <v>498</v>
      </c>
      <c r="B180" t="s">
        <v>19</v>
      </c>
      <c r="C180" t="s">
        <v>490</v>
      </c>
      <c r="D180" t="s">
        <v>503</v>
      </c>
      <c r="E180" t="s">
        <v>22</v>
      </c>
      <c r="G180" t="s">
        <v>914</v>
      </c>
      <c r="H180" t="s">
        <v>919</v>
      </c>
      <c r="I180" t="s">
        <v>629</v>
      </c>
      <c r="J180" t="s">
        <v>28</v>
      </c>
      <c r="L180">
        <v>463</v>
      </c>
      <c r="M180" t="s">
        <v>297</v>
      </c>
      <c r="O180" t="s">
        <v>27</v>
      </c>
      <c r="P180" t="s">
        <v>303</v>
      </c>
      <c r="Q180" t="s">
        <v>295</v>
      </c>
      <c r="R180">
        <v>161</v>
      </c>
      <c r="S180" t="str">
        <f>VLOOKUP(R180,Epics!A:B,2,FALSE)</f>
        <v>Soporte</v>
      </c>
    </row>
    <row r="181" spans="1:19" x14ac:dyDescent="0.25">
      <c r="A181">
        <v>499</v>
      </c>
      <c r="B181" t="s">
        <v>19</v>
      </c>
      <c r="C181" t="s">
        <v>492</v>
      </c>
      <c r="D181" t="s">
        <v>503</v>
      </c>
      <c r="E181" t="s">
        <v>22</v>
      </c>
      <c r="F181" t="s">
        <v>512</v>
      </c>
      <c r="G181" t="s">
        <v>920</v>
      </c>
      <c r="H181" t="s">
        <v>624</v>
      </c>
      <c r="J181" t="s">
        <v>32</v>
      </c>
      <c r="L181">
        <v>461</v>
      </c>
      <c r="M181" t="s">
        <v>297</v>
      </c>
      <c r="O181" t="s">
        <v>27</v>
      </c>
      <c r="P181" t="s">
        <v>303</v>
      </c>
      <c r="Q181" t="s">
        <v>295</v>
      </c>
      <c r="R181">
        <v>161</v>
      </c>
      <c r="S181" t="str">
        <f>VLOOKUP(R181,Epics!A:B,2,FALSE)</f>
        <v>Soporte</v>
      </c>
    </row>
    <row r="182" spans="1:19" x14ac:dyDescent="0.25">
      <c r="A182">
        <v>500</v>
      </c>
      <c r="B182" t="s">
        <v>19</v>
      </c>
      <c r="C182" t="s">
        <v>489</v>
      </c>
      <c r="D182" t="s">
        <v>503</v>
      </c>
      <c r="E182" t="s">
        <v>22</v>
      </c>
      <c r="F182" t="s">
        <v>512</v>
      </c>
      <c r="G182" t="s">
        <v>921</v>
      </c>
      <c r="H182" t="s">
        <v>922</v>
      </c>
      <c r="J182" t="s">
        <v>32</v>
      </c>
      <c r="L182">
        <v>464</v>
      </c>
      <c r="M182" t="s">
        <v>297</v>
      </c>
      <c r="O182" t="s">
        <v>27</v>
      </c>
      <c r="P182" t="s">
        <v>303</v>
      </c>
      <c r="Q182" t="s">
        <v>295</v>
      </c>
      <c r="R182">
        <v>161</v>
      </c>
      <c r="S182" t="str">
        <f>VLOOKUP(R182,Epics!A:B,2,FALSE)</f>
        <v>Soporte</v>
      </c>
    </row>
    <row r="183" spans="1:19" x14ac:dyDescent="0.25">
      <c r="A183">
        <v>501</v>
      </c>
      <c r="B183" t="s">
        <v>19</v>
      </c>
      <c r="C183" t="s">
        <v>507</v>
      </c>
      <c r="D183" t="s">
        <v>503</v>
      </c>
      <c r="E183" t="s">
        <v>22</v>
      </c>
      <c r="G183" t="s">
        <v>596</v>
      </c>
      <c r="H183" t="s">
        <v>923</v>
      </c>
      <c r="J183" t="s">
        <v>32</v>
      </c>
      <c r="L183">
        <v>465</v>
      </c>
      <c r="M183" t="s">
        <v>297</v>
      </c>
      <c r="O183" t="s">
        <v>27</v>
      </c>
      <c r="P183" t="s">
        <v>367</v>
      </c>
      <c r="Q183" t="s">
        <v>295</v>
      </c>
      <c r="R183">
        <v>161</v>
      </c>
      <c r="S183" t="str">
        <f>VLOOKUP(R183,Epics!A:B,2,FALSE)</f>
        <v>Soporte</v>
      </c>
    </row>
    <row r="184" spans="1:19" x14ac:dyDescent="0.25">
      <c r="A184">
        <v>502</v>
      </c>
      <c r="B184" t="s">
        <v>19</v>
      </c>
      <c r="C184" t="s">
        <v>508</v>
      </c>
      <c r="D184" t="s">
        <v>503</v>
      </c>
      <c r="E184" t="s">
        <v>22</v>
      </c>
      <c r="F184" t="s">
        <v>512</v>
      </c>
      <c r="G184" t="s">
        <v>924</v>
      </c>
      <c r="H184" t="s">
        <v>925</v>
      </c>
      <c r="J184" t="s">
        <v>32</v>
      </c>
      <c r="L184">
        <v>466</v>
      </c>
      <c r="M184" t="s">
        <v>297</v>
      </c>
      <c r="O184" t="s">
        <v>27</v>
      </c>
      <c r="P184" t="s">
        <v>303</v>
      </c>
      <c r="Q184" t="s">
        <v>331</v>
      </c>
      <c r="R184">
        <v>161</v>
      </c>
      <c r="S184" t="str">
        <f>VLOOKUP(R184,Epics!A:B,2,FALSE)</f>
        <v>Soporte</v>
      </c>
    </row>
    <row r="185" spans="1:19" x14ac:dyDescent="0.25">
      <c r="A185">
        <v>503</v>
      </c>
      <c r="B185" t="s">
        <v>19</v>
      </c>
      <c r="C185" t="s">
        <v>509</v>
      </c>
      <c r="D185" t="s">
        <v>503</v>
      </c>
      <c r="E185" t="s">
        <v>22</v>
      </c>
      <c r="F185" t="s">
        <v>512</v>
      </c>
      <c r="G185" t="s">
        <v>926</v>
      </c>
      <c r="H185" t="s">
        <v>927</v>
      </c>
      <c r="J185" t="s">
        <v>32</v>
      </c>
      <c r="L185">
        <v>467</v>
      </c>
      <c r="M185" t="s">
        <v>297</v>
      </c>
      <c r="O185" t="s">
        <v>27</v>
      </c>
      <c r="P185" t="s">
        <v>303</v>
      </c>
      <c r="Q185" t="s">
        <v>295</v>
      </c>
      <c r="R185">
        <v>161</v>
      </c>
      <c r="S185" t="str">
        <f>VLOOKUP(R185,Epics!A:B,2,FALSE)</f>
        <v>Soporte</v>
      </c>
    </row>
    <row r="186" spans="1:19" x14ac:dyDescent="0.25">
      <c r="A186">
        <v>368</v>
      </c>
      <c r="B186" t="s">
        <v>19</v>
      </c>
      <c r="C186" t="s">
        <v>424</v>
      </c>
      <c r="D186" t="s">
        <v>281</v>
      </c>
      <c r="E186" t="s">
        <v>22</v>
      </c>
      <c r="G186" t="s">
        <v>598</v>
      </c>
      <c r="H186" t="s">
        <v>598</v>
      </c>
      <c r="I186" t="s">
        <v>885</v>
      </c>
      <c r="J186" t="s">
        <v>32</v>
      </c>
      <c r="K186">
        <v>126521</v>
      </c>
      <c r="L186">
        <v>399</v>
      </c>
      <c r="M186" t="s">
        <v>297</v>
      </c>
      <c r="N186" t="s">
        <v>928</v>
      </c>
      <c r="O186" t="s">
        <v>27</v>
      </c>
      <c r="P186" t="s">
        <v>294</v>
      </c>
      <c r="Q186" t="s">
        <v>331</v>
      </c>
      <c r="R186">
        <v>161</v>
      </c>
      <c r="S186" t="str">
        <f>VLOOKUP(R186,Epics!A:B,2,FALSE)</f>
        <v>Soporte</v>
      </c>
    </row>
    <row r="187" spans="1:19" x14ac:dyDescent="0.25">
      <c r="A187">
        <v>373</v>
      </c>
      <c r="B187" t="s">
        <v>19</v>
      </c>
      <c r="C187" t="s">
        <v>289</v>
      </c>
      <c r="D187" t="s">
        <v>281</v>
      </c>
      <c r="E187" t="s">
        <v>22</v>
      </c>
      <c r="G187" t="s">
        <v>778</v>
      </c>
      <c r="H187" t="s">
        <v>885</v>
      </c>
      <c r="I187" t="s">
        <v>929</v>
      </c>
      <c r="J187" t="s">
        <v>32</v>
      </c>
      <c r="K187">
        <v>126514</v>
      </c>
      <c r="L187">
        <v>401</v>
      </c>
      <c r="M187" t="s">
        <v>297</v>
      </c>
      <c r="N187" t="s">
        <v>930</v>
      </c>
      <c r="O187" t="s">
        <v>27</v>
      </c>
      <c r="P187" t="s">
        <v>343</v>
      </c>
      <c r="Q187" t="s">
        <v>331</v>
      </c>
      <c r="R187">
        <v>161</v>
      </c>
      <c r="S187" t="str">
        <f>VLOOKUP(R187,Epics!A:B,2,FALSE)</f>
        <v>Soporte</v>
      </c>
    </row>
    <row r="188" spans="1:19" x14ac:dyDescent="0.25">
      <c r="A188">
        <v>381</v>
      </c>
      <c r="B188" t="s">
        <v>19</v>
      </c>
      <c r="C188" t="s">
        <v>290</v>
      </c>
      <c r="D188" t="s">
        <v>281</v>
      </c>
      <c r="E188" t="s">
        <v>22</v>
      </c>
      <c r="F188" t="s">
        <v>282</v>
      </c>
      <c r="G188" t="s">
        <v>885</v>
      </c>
      <c r="H188" t="s">
        <v>885</v>
      </c>
      <c r="I188" t="s">
        <v>599</v>
      </c>
      <c r="J188" t="s">
        <v>32</v>
      </c>
      <c r="L188">
        <v>405</v>
      </c>
      <c r="M188" t="s">
        <v>297</v>
      </c>
      <c r="N188" t="s">
        <v>931</v>
      </c>
      <c r="O188" t="s">
        <v>27</v>
      </c>
      <c r="P188" t="s">
        <v>343</v>
      </c>
      <c r="Q188" t="s">
        <v>331</v>
      </c>
      <c r="R188">
        <v>161</v>
      </c>
      <c r="S188" t="str">
        <f>VLOOKUP(R188,Epics!A:B,2,FALSE)</f>
        <v>Soporte</v>
      </c>
    </row>
    <row r="189" spans="1:19" x14ac:dyDescent="0.25">
      <c r="A189">
        <v>445</v>
      </c>
      <c r="B189" t="s">
        <v>19</v>
      </c>
      <c r="C189" t="s">
        <v>465</v>
      </c>
      <c r="D189" t="s">
        <v>476</v>
      </c>
      <c r="E189" t="s">
        <v>22</v>
      </c>
      <c r="F189" t="s">
        <v>473</v>
      </c>
      <c r="G189" t="s">
        <v>932</v>
      </c>
      <c r="H189" t="s">
        <v>660</v>
      </c>
      <c r="J189" t="s">
        <v>32</v>
      </c>
      <c r="L189">
        <v>440</v>
      </c>
      <c r="M189" t="s">
        <v>297</v>
      </c>
      <c r="N189" t="s">
        <v>933</v>
      </c>
      <c r="O189" t="s">
        <v>27</v>
      </c>
      <c r="P189" t="s">
        <v>343</v>
      </c>
      <c r="Q189" t="s">
        <v>295</v>
      </c>
      <c r="R189">
        <v>161</v>
      </c>
      <c r="S189" t="str">
        <f>VLOOKUP(R189,Epics!A:B,2,FALSE)</f>
        <v>Soporte</v>
      </c>
    </row>
    <row r="190" spans="1:19" x14ac:dyDescent="0.25">
      <c r="A190">
        <v>282</v>
      </c>
      <c r="B190" t="s">
        <v>19</v>
      </c>
      <c r="C190" t="s">
        <v>425</v>
      </c>
      <c r="D190" t="s">
        <v>56</v>
      </c>
      <c r="E190" t="s">
        <v>22</v>
      </c>
      <c r="F190" t="s">
        <v>50</v>
      </c>
      <c r="G190" t="s">
        <v>844</v>
      </c>
      <c r="H190" t="s">
        <v>844</v>
      </c>
      <c r="I190" t="s">
        <v>844</v>
      </c>
      <c r="J190" t="s">
        <v>32</v>
      </c>
      <c r="L190">
        <v>364</v>
      </c>
      <c r="M190" t="s">
        <v>297</v>
      </c>
      <c r="N190" t="s">
        <v>934</v>
      </c>
      <c r="O190" t="s">
        <v>27</v>
      </c>
      <c r="P190" t="s">
        <v>343</v>
      </c>
      <c r="Q190" t="s">
        <v>331</v>
      </c>
      <c r="R190">
        <v>161</v>
      </c>
      <c r="S190" t="str">
        <f>VLOOKUP(R190,Epics!A:B,2,FALSE)</f>
        <v>Soporte</v>
      </c>
    </row>
    <row r="191" spans="1:19" x14ac:dyDescent="0.25">
      <c r="A191">
        <v>291</v>
      </c>
      <c r="B191" t="s">
        <v>19</v>
      </c>
      <c r="C191" t="s">
        <v>426</v>
      </c>
      <c r="D191" t="s">
        <v>56</v>
      </c>
      <c r="E191" t="s">
        <v>22</v>
      </c>
      <c r="G191" t="s">
        <v>603</v>
      </c>
      <c r="H191" t="s">
        <v>603</v>
      </c>
      <c r="I191" t="s">
        <v>935</v>
      </c>
      <c r="J191" t="s">
        <v>32</v>
      </c>
      <c r="K191">
        <v>112853</v>
      </c>
      <c r="L191">
        <v>368</v>
      </c>
      <c r="M191" t="s">
        <v>297</v>
      </c>
      <c r="N191" t="s">
        <v>936</v>
      </c>
      <c r="O191" t="s">
        <v>27</v>
      </c>
      <c r="P191" t="s">
        <v>338</v>
      </c>
      <c r="Q191" t="s">
        <v>295</v>
      </c>
      <c r="R191">
        <v>161</v>
      </c>
      <c r="S191" t="str">
        <f>VLOOKUP(R191,Epics!A:B,2,FALSE)</f>
        <v>Soporte</v>
      </c>
    </row>
    <row r="192" spans="1:19" x14ac:dyDescent="0.25">
      <c r="A192">
        <v>296</v>
      </c>
      <c r="B192" t="s">
        <v>19</v>
      </c>
      <c r="C192" t="s">
        <v>427</v>
      </c>
      <c r="D192" t="s">
        <v>56</v>
      </c>
      <c r="E192" t="s">
        <v>22</v>
      </c>
      <c r="G192" t="s">
        <v>937</v>
      </c>
      <c r="H192" t="s">
        <v>937</v>
      </c>
      <c r="I192" t="s">
        <v>938</v>
      </c>
      <c r="J192" t="s">
        <v>32</v>
      </c>
      <c r="K192">
        <v>115970</v>
      </c>
      <c r="L192">
        <v>370</v>
      </c>
      <c r="M192" t="s">
        <v>297</v>
      </c>
      <c r="N192" t="s">
        <v>939</v>
      </c>
      <c r="O192" t="s">
        <v>27</v>
      </c>
      <c r="P192" t="s">
        <v>294</v>
      </c>
      <c r="Q192" t="s">
        <v>295</v>
      </c>
      <c r="R192">
        <v>161</v>
      </c>
      <c r="S192" t="str">
        <f>VLOOKUP(R192,Epics!A:B,2,FALSE)</f>
        <v>Soporte</v>
      </c>
    </row>
    <row r="193" spans="1:19" x14ac:dyDescent="0.25">
      <c r="A193">
        <v>300</v>
      </c>
      <c r="B193" t="s">
        <v>19</v>
      </c>
      <c r="C193" t="s">
        <v>428</v>
      </c>
      <c r="D193" t="s">
        <v>56</v>
      </c>
      <c r="E193" t="s">
        <v>22</v>
      </c>
      <c r="G193" t="s">
        <v>940</v>
      </c>
      <c r="H193" t="s">
        <v>941</v>
      </c>
      <c r="I193" t="s">
        <v>941</v>
      </c>
      <c r="J193" t="s">
        <v>110</v>
      </c>
      <c r="L193">
        <v>372</v>
      </c>
      <c r="M193" t="s">
        <v>297</v>
      </c>
      <c r="N193" t="s">
        <v>942</v>
      </c>
      <c r="O193" t="s">
        <v>27</v>
      </c>
      <c r="P193" t="s">
        <v>294</v>
      </c>
      <c r="Q193" t="s">
        <v>295</v>
      </c>
      <c r="R193">
        <v>161</v>
      </c>
      <c r="S193" t="str">
        <f>VLOOKUP(R193,Epics!A:B,2,FALSE)</f>
        <v>Soporte</v>
      </c>
    </row>
    <row r="194" spans="1:19" x14ac:dyDescent="0.25">
      <c r="A194">
        <v>305</v>
      </c>
      <c r="B194" t="s">
        <v>19</v>
      </c>
      <c r="C194" t="s">
        <v>429</v>
      </c>
      <c r="D194" t="s">
        <v>56</v>
      </c>
      <c r="E194" t="s">
        <v>22</v>
      </c>
      <c r="G194" t="s">
        <v>943</v>
      </c>
      <c r="H194" t="s">
        <v>943</v>
      </c>
      <c r="I194" t="s">
        <v>943</v>
      </c>
      <c r="J194" t="s">
        <v>32</v>
      </c>
      <c r="L194">
        <v>373</v>
      </c>
      <c r="M194" t="s">
        <v>327</v>
      </c>
      <c r="N194" t="s">
        <v>944</v>
      </c>
      <c r="O194" t="s">
        <v>27</v>
      </c>
      <c r="P194" t="s">
        <v>367</v>
      </c>
      <c r="Q194" t="s">
        <v>295</v>
      </c>
      <c r="R194">
        <v>161</v>
      </c>
      <c r="S194" t="str">
        <f>VLOOKUP(R194,Epics!A:B,2,FALSE)</f>
        <v>Soporte</v>
      </c>
    </row>
    <row r="195" spans="1:19" x14ac:dyDescent="0.25">
      <c r="A195">
        <v>222</v>
      </c>
      <c r="B195" t="s">
        <v>19</v>
      </c>
      <c r="C195" t="s">
        <v>430</v>
      </c>
      <c r="D195" t="s">
        <v>20</v>
      </c>
      <c r="E195" t="s">
        <v>22</v>
      </c>
      <c r="G195" t="s">
        <v>643</v>
      </c>
      <c r="H195" t="s">
        <v>643</v>
      </c>
      <c r="I195" t="s">
        <v>945</v>
      </c>
      <c r="J195" t="s">
        <v>32</v>
      </c>
      <c r="K195">
        <v>103860</v>
      </c>
      <c r="L195">
        <v>332</v>
      </c>
      <c r="M195" t="s">
        <v>297</v>
      </c>
      <c r="N195" t="s">
        <v>946</v>
      </c>
      <c r="O195" t="s">
        <v>27</v>
      </c>
      <c r="P195" t="s">
        <v>303</v>
      </c>
      <c r="Q195" t="s">
        <v>304</v>
      </c>
      <c r="R195">
        <v>161</v>
      </c>
      <c r="S195" t="str">
        <f>VLOOKUP(R195,Epics!A:B,2,FALSE)</f>
        <v>Soporte</v>
      </c>
    </row>
    <row r="196" spans="1:19" x14ac:dyDescent="0.25">
      <c r="A196">
        <v>224</v>
      </c>
      <c r="B196" t="s">
        <v>19</v>
      </c>
      <c r="C196" t="s">
        <v>431</v>
      </c>
      <c r="D196" t="s">
        <v>20</v>
      </c>
      <c r="E196" t="s">
        <v>22</v>
      </c>
      <c r="G196" t="s">
        <v>947</v>
      </c>
      <c r="H196" t="s">
        <v>755</v>
      </c>
      <c r="I196" t="s">
        <v>948</v>
      </c>
      <c r="J196" t="s">
        <v>32</v>
      </c>
      <c r="K196">
        <v>104784</v>
      </c>
      <c r="L196">
        <v>334</v>
      </c>
      <c r="M196" t="s">
        <v>297</v>
      </c>
      <c r="N196" t="s">
        <v>949</v>
      </c>
      <c r="O196" t="s">
        <v>21</v>
      </c>
      <c r="P196" t="s">
        <v>303</v>
      </c>
      <c r="Q196" t="s">
        <v>304</v>
      </c>
      <c r="R196">
        <v>161</v>
      </c>
      <c r="S196" t="str">
        <f>VLOOKUP(R196,Epics!A:B,2,FALSE)</f>
        <v>Soporte</v>
      </c>
    </row>
    <row r="197" spans="1:19" x14ac:dyDescent="0.25">
      <c r="A197">
        <v>227</v>
      </c>
      <c r="B197" t="s">
        <v>19</v>
      </c>
      <c r="C197" t="s">
        <v>432</v>
      </c>
      <c r="D197" t="s">
        <v>20</v>
      </c>
      <c r="E197" t="s">
        <v>22</v>
      </c>
      <c r="G197" t="s">
        <v>945</v>
      </c>
      <c r="H197" t="s">
        <v>945</v>
      </c>
      <c r="I197" t="s">
        <v>948</v>
      </c>
      <c r="J197" t="s">
        <v>105</v>
      </c>
      <c r="K197">
        <v>104786</v>
      </c>
      <c r="L197">
        <v>337</v>
      </c>
      <c r="M197" t="s">
        <v>297</v>
      </c>
      <c r="N197" t="s">
        <v>950</v>
      </c>
      <c r="O197" t="s">
        <v>21</v>
      </c>
      <c r="P197" t="s">
        <v>343</v>
      </c>
      <c r="Q197" t="s">
        <v>331</v>
      </c>
      <c r="R197">
        <v>161</v>
      </c>
      <c r="S197" t="str">
        <f>VLOOKUP(R197,Epics!A:B,2,FALSE)</f>
        <v>Soporte</v>
      </c>
    </row>
    <row r="198" spans="1:19" x14ac:dyDescent="0.25">
      <c r="A198">
        <v>232</v>
      </c>
      <c r="B198" t="s">
        <v>19</v>
      </c>
      <c r="C198" t="s">
        <v>433</v>
      </c>
      <c r="D198" t="s">
        <v>20</v>
      </c>
      <c r="E198" t="s">
        <v>22</v>
      </c>
      <c r="G198" t="s">
        <v>951</v>
      </c>
      <c r="H198" t="s">
        <v>951</v>
      </c>
      <c r="I198" t="s">
        <v>952</v>
      </c>
      <c r="J198" t="s">
        <v>32</v>
      </c>
      <c r="L198">
        <v>342</v>
      </c>
      <c r="M198" t="s">
        <v>297</v>
      </c>
      <c r="N198" t="s">
        <v>953</v>
      </c>
      <c r="O198" t="s">
        <v>21</v>
      </c>
      <c r="P198" t="s">
        <v>343</v>
      </c>
      <c r="Q198" t="s">
        <v>331</v>
      </c>
      <c r="R198">
        <v>161</v>
      </c>
      <c r="S198" t="str">
        <f>VLOOKUP(R198,Epics!A:B,2,FALSE)</f>
        <v>Soporte</v>
      </c>
    </row>
    <row r="199" spans="1:19" x14ac:dyDescent="0.25">
      <c r="A199">
        <v>233</v>
      </c>
      <c r="B199" t="s">
        <v>19</v>
      </c>
      <c r="C199" t="s">
        <v>434</v>
      </c>
      <c r="D199" t="s">
        <v>20</v>
      </c>
      <c r="E199" t="s">
        <v>22</v>
      </c>
      <c r="G199" t="s">
        <v>951</v>
      </c>
      <c r="H199" t="s">
        <v>952</v>
      </c>
      <c r="I199" t="s">
        <v>952</v>
      </c>
      <c r="J199" t="s">
        <v>32</v>
      </c>
      <c r="K199">
        <v>105866</v>
      </c>
      <c r="L199">
        <v>343</v>
      </c>
      <c r="M199" t="s">
        <v>297</v>
      </c>
      <c r="N199" t="s">
        <v>954</v>
      </c>
      <c r="O199" t="s">
        <v>21</v>
      </c>
      <c r="P199" t="s">
        <v>343</v>
      </c>
      <c r="Q199" t="s">
        <v>331</v>
      </c>
      <c r="R199">
        <v>161</v>
      </c>
      <c r="S199" t="str">
        <f>VLOOKUP(R199,Epics!A:B,2,FALSE)</f>
        <v>Soporte</v>
      </c>
    </row>
    <row r="200" spans="1:19" x14ac:dyDescent="0.25">
      <c r="A200">
        <v>406</v>
      </c>
      <c r="B200" t="s">
        <v>19</v>
      </c>
      <c r="C200" t="s">
        <v>381</v>
      </c>
      <c r="D200" t="s">
        <v>444</v>
      </c>
      <c r="E200" t="s">
        <v>22</v>
      </c>
      <c r="G200" t="s">
        <v>955</v>
      </c>
      <c r="H200" t="s">
        <v>569</v>
      </c>
      <c r="I200" t="s">
        <v>956</v>
      </c>
      <c r="J200" t="s">
        <v>32</v>
      </c>
      <c r="L200">
        <v>419</v>
      </c>
      <c r="M200" t="s">
        <v>297</v>
      </c>
      <c r="N200" t="s">
        <v>957</v>
      </c>
      <c r="O200" t="s">
        <v>287</v>
      </c>
      <c r="P200" t="s">
        <v>343</v>
      </c>
      <c r="Q200" t="s">
        <v>331</v>
      </c>
      <c r="R200">
        <v>161</v>
      </c>
      <c r="S200" t="str">
        <f>VLOOKUP(R200,Epics!A:B,2,FALSE)</f>
        <v>Soporte</v>
      </c>
    </row>
    <row r="201" spans="1:19" x14ac:dyDescent="0.25">
      <c r="A201">
        <v>411</v>
      </c>
      <c r="B201" t="s">
        <v>19</v>
      </c>
      <c r="C201" t="s">
        <v>382</v>
      </c>
      <c r="D201" t="s">
        <v>444</v>
      </c>
      <c r="E201" t="s">
        <v>22</v>
      </c>
      <c r="G201" t="s">
        <v>958</v>
      </c>
      <c r="H201" t="s">
        <v>959</v>
      </c>
      <c r="I201" t="s">
        <v>956</v>
      </c>
      <c r="J201" t="s">
        <v>32</v>
      </c>
      <c r="L201">
        <v>421</v>
      </c>
      <c r="M201" t="s">
        <v>297</v>
      </c>
      <c r="N201" t="s">
        <v>960</v>
      </c>
      <c r="O201" t="s">
        <v>27</v>
      </c>
      <c r="P201" t="s">
        <v>343</v>
      </c>
      <c r="Q201" t="s">
        <v>331</v>
      </c>
      <c r="R201">
        <v>161</v>
      </c>
    </row>
    <row r="202" spans="1:19" x14ac:dyDescent="0.25">
      <c r="A202">
        <v>432</v>
      </c>
      <c r="B202" t="s">
        <v>19</v>
      </c>
      <c r="C202" t="s">
        <v>453</v>
      </c>
      <c r="D202" t="s">
        <v>444</v>
      </c>
      <c r="E202" t="s">
        <v>22</v>
      </c>
      <c r="F202" t="s">
        <v>329</v>
      </c>
      <c r="G202" t="s">
        <v>961</v>
      </c>
      <c r="H202" t="s">
        <v>962</v>
      </c>
      <c r="I202" t="s">
        <v>573</v>
      </c>
      <c r="J202" t="s">
        <v>32</v>
      </c>
      <c r="L202">
        <v>432</v>
      </c>
      <c r="M202" t="s">
        <v>297</v>
      </c>
      <c r="O202" t="s">
        <v>27</v>
      </c>
      <c r="P202" t="s">
        <v>294</v>
      </c>
      <c r="Q202" t="s">
        <v>295</v>
      </c>
      <c r="R202">
        <v>161</v>
      </c>
    </row>
    <row r="203" spans="1:19" x14ac:dyDescent="0.25">
      <c r="A203">
        <v>166</v>
      </c>
      <c r="B203" t="s">
        <v>19</v>
      </c>
      <c r="C203" t="s">
        <v>435</v>
      </c>
      <c r="D203" t="s">
        <v>65</v>
      </c>
      <c r="E203" t="s">
        <v>22</v>
      </c>
      <c r="F203" t="s">
        <v>69</v>
      </c>
      <c r="G203" t="s">
        <v>611</v>
      </c>
      <c r="H203" t="s">
        <v>963</v>
      </c>
      <c r="I203" t="s">
        <v>582</v>
      </c>
      <c r="J203" t="s">
        <v>79</v>
      </c>
      <c r="L203">
        <v>295</v>
      </c>
      <c r="M203" t="s">
        <v>297</v>
      </c>
      <c r="N203" t="s">
        <v>964</v>
      </c>
      <c r="O203" t="s">
        <v>27</v>
      </c>
      <c r="P203" t="s">
        <v>294</v>
      </c>
      <c r="Q203" t="s">
        <v>295</v>
      </c>
      <c r="R203">
        <v>175</v>
      </c>
    </row>
    <row r="204" spans="1:19" x14ac:dyDescent="0.25">
      <c r="A204">
        <v>179</v>
      </c>
      <c r="B204" t="s">
        <v>19</v>
      </c>
      <c r="C204" t="s">
        <v>436</v>
      </c>
      <c r="D204" t="s">
        <v>122</v>
      </c>
      <c r="E204" t="s">
        <v>22</v>
      </c>
      <c r="F204" t="s">
        <v>133</v>
      </c>
      <c r="G204" t="s">
        <v>611</v>
      </c>
      <c r="H204" t="s">
        <v>611</v>
      </c>
      <c r="I204" t="s">
        <v>564</v>
      </c>
      <c r="J204" t="s">
        <v>79</v>
      </c>
      <c r="L204">
        <v>303</v>
      </c>
      <c r="M204" t="s">
        <v>327</v>
      </c>
      <c r="N204" t="s">
        <v>965</v>
      </c>
      <c r="O204" t="s">
        <v>27</v>
      </c>
      <c r="P204" t="s">
        <v>294</v>
      </c>
      <c r="Q204" t="s">
        <v>295</v>
      </c>
      <c r="R204">
        <v>177</v>
      </c>
    </row>
    <row r="205" spans="1:19" x14ac:dyDescent="0.25">
      <c r="A205">
        <v>182</v>
      </c>
      <c r="B205" t="s">
        <v>19</v>
      </c>
      <c r="C205" t="s">
        <v>437</v>
      </c>
      <c r="D205" t="s">
        <v>35</v>
      </c>
      <c r="E205" t="s">
        <v>22</v>
      </c>
      <c r="F205" t="s">
        <v>61</v>
      </c>
      <c r="G205" t="s">
        <v>563</v>
      </c>
      <c r="H205" t="s">
        <v>563</v>
      </c>
      <c r="I205" t="s">
        <v>966</v>
      </c>
      <c r="J205" t="s">
        <v>79</v>
      </c>
      <c r="L205">
        <v>304</v>
      </c>
      <c r="M205" t="s">
        <v>327</v>
      </c>
      <c r="N205" t="s">
        <v>967</v>
      </c>
      <c r="O205" t="s">
        <v>27</v>
      </c>
      <c r="P205" t="s">
        <v>294</v>
      </c>
      <c r="Q205" t="s">
        <v>295</v>
      </c>
      <c r="R205">
        <v>181</v>
      </c>
    </row>
    <row r="206" spans="1:19" x14ac:dyDescent="0.25">
      <c r="A206">
        <v>184</v>
      </c>
      <c r="B206" t="s">
        <v>19</v>
      </c>
      <c r="C206" t="s">
        <v>438</v>
      </c>
      <c r="D206" t="s">
        <v>35</v>
      </c>
      <c r="E206" t="s">
        <v>22</v>
      </c>
      <c r="F206" t="s">
        <v>61</v>
      </c>
      <c r="G206" t="s">
        <v>563</v>
      </c>
      <c r="H206" t="s">
        <v>563</v>
      </c>
      <c r="I206" t="s">
        <v>966</v>
      </c>
      <c r="J206" t="s">
        <v>79</v>
      </c>
      <c r="L206">
        <v>306</v>
      </c>
      <c r="M206" t="s">
        <v>327</v>
      </c>
      <c r="N206" t="s">
        <v>968</v>
      </c>
      <c r="O206" t="s">
        <v>27</v>
      </c>
      <c r="P206" t="s">
        <v>294</v>
      </c>
      <c r="Q206" t="s">
        <v>295</v>
      </c>
      <c r="R206">
        <v>181</v>
      </c>
    </row>
    <row r="207" spans="1:19" x14ac:dyDescent="0.25">
      <c r="A207">
        <v>192</v>
      </c>
      <c r="B207" t="s">
        <v>19</v>
      </c>
      <c r="C207" t="s">
        <v>439</v>
      </c>
      <c r="D207" t="s">
        <v>35</v>
      </c>
      <c r="E207" t="s">
        <v>22</v>
      </c>
      <c r="F207" t="s">
        <v>61</v>
      </c>
      <c r="G207" t="s">
        <v>582</v>
      </c>
      <c r="H207" t="s">
        <v>771</v>
      </c>
      <c r="I207" t="s">
        <v>564</v>
      </c>
      <c r="J207" t="s">
        <v>79</v>
      </c>
      <c r="L207">
        <v>313</v>
      </c>
      <c r="M207" t="s">
        <v>297</v>
      </c>
      <c r="N207" t="s">
        <v>969</v>
      </c>
      <c r="O207" t="s">
        <v>27</v>
      </c>
      <c r="P207" t="s">
        <v>294</v>
      </c>
      <c r="Q207" t="s">
        <v>295</v>
      </c>
      <c r="R207">
        <v>181</v>
      </c>
    </row>
    <row r="208" spans="1:19" x14ac:dyDescent="0.25">
      <c r="A208">
        <v>193</v>
      </c>
      <c r="B208" t="s">
        <v>19</v>
      </c>
      <c r="C208" t="s">
        <v>440</v>
      </c>
      <c r="D208" t="s">
        <v>20</v>
      </c>
      <c r="E208" t="s">
        <v>22</v>
      </c>
      <c r="F208" t="s">
        <v>61</v>
      </c>
      <c r="G208" t="s">
        <v>582</v>
      </c>
      <c r="H208" t="s">
        <v>966</v>
      </c>
      <c r="I208" t="s">
        <v>564</v>
      </c>
      <c r="J208" t="s">
        <v>79</v>
      </c>
      <c r="L208">
        <v>314</v>
      </c>
      <c r="M208" t="s">
        <v>327</v>
      </c>
      <c r="N208" t="s">
        <v>970</v>
      </c>
      <c r="O208" t="s">
        <v>27</v>
      </c>
      <c r="P208" t="s">
        <v>294</v>
      </c>
      <c r="Q208" t="s">
        <v>295</v>
      </c>
      <c r="R208">
        <v>181</v>
      </c>
    </row>
  </sheetData>
  <autoFilter ref="A1:R158" xr:uid="{832C0574-E151-40A5-B488-19B2EAEA2F16}">
    <sortState xmlns:xlrd2="http://schemas.microsoft.com/office/spreadsheetml/2017/richdata2" ref="A2:R194">
      <sortCondition descending="1" ref="C1:C15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Epics</vt: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Macavilca</dc:creator>
  <cp:lastModifiedBy>PC</cp:lastModifiedBy>
  <dcterms:created xsi:type="dcterms:W3CDTF">2025-01-20T18:58:59Z</dcterms:created>
  <dcterms:modified xsi:type="dcterms:W3CDTF">2026-03-23T20:44:44Z</dcterms:modified>
</cp:coreProperties>
</file>